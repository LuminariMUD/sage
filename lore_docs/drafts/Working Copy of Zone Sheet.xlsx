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connected" sheetId="1" r:id="rId4"/>
    <sheet state="visible" name="WildLinks" sheetId="2" r:id="rId5"/>
    <sheet state="visible" name="SubLinks" sheetId="3" r:id="rId6"/>
    <sheet state="visible" name="Underworld" sheetId="4" r:id="rId7"/>
    <sheet state="visible" name="Planes" sheetId="5" r:id="rId8"/>
    <sheet state="visible" name="Swiftpaths" sheetId="6" r:id="rId9"/>
    <sheet state="visible" name="Name Swaps" sheetId="7" r:id="rId10"/>
    <sheet state="visible" name="Carriages" sheetId="8" r:id="rId11"/>
    <sheet state="visible" name="Sea Ports" sheetId="9" r:id="rId12"/>
  </sheets>
  <definedNames>
    <definedName hidden="1" localSheetId="0" name="_xlnm._FilterDatabase">Disconnected!$A$1:$L$239</definedName>
    <definedName hidden="1" localSheetId="0" name="Z_6727913F_ABEB_430D_BC37_8F7C01EEFA82_.wvu.FilterData">Disconnected!$A$1:$L$239</definedName>
  </definedNames>
  <calcPr/>
  <customWorkbookViews>
    <customWorkbookView activeSheetId="0" maximized="1" windowHeight="0" windowWidth="0" guid="{6727913F-ABEB-430D-BC37-8F7C01EEFA82}"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tc={740bfc94-25e9-4d60-a886-b53c65f4fb05}</author>
  </authors>
  <commentList>
    <comment authorId="0" xr:uid="{740bfc94-25e9-4d60-a886-b53c65f4fb05}" ref="N5">
      <text>
        <t xml:space="preserve">[Threaded comment]
 Your version of Excel allows you to read this threaded comment; however, any edits to it will get removed if the file is opened in a newer version of Excel. Learn more: https://go.microsoft.com/fwlink/?linkid=870924
Comment:
	There is a merchant mob - do we want a shop here?
</t>
      </text>
    </comment>
  </commentList>
</comments>
</file>

<file path=xl/sharedStrings.xml><?xml version="1.0" encoding="utf-8"?>
<sst xmlns="http://schemas.openxmlformats.org/spreadsheetml/2006/main" count="2868" uniqueCount="1481">
  <si>
    <t>S</t>
  </si>
  <si>
    <t>Zone</t>
  </si>
  <si>
    <t>Name</t>
  </si>
  <si>
    <t>Lvl</t>
  </si>
  <si>
    <t>Status</t>
  </si>
  <si>
    <t>Builder</t>
  </si>
  <si>
    <t>Vnum B</t>
  </si>
  <si>
    <t>Vnum T</t>
  </si>
  <si>
    <t>(Former) Connections</t>
  </si>
  <si>
    <t>Terrain</t>
  </si>
  <si>
    <t>Notes</t>
  </si>
  <si>
    <t xml:space="preserve">[5515] </t>
  </si>
  <si>
    <t xml:space="preserve">Delimbiyr Vale - Lathander </t>
  </si>
  <si>
    <t>[hometown/city]</t>
  </si>
  <si>
    <t xml:space="preserve">N-Reva </t>
  </si>
  <si>
    <t>Lathander</t>
  </si>
  <si>
    <t>1250, 1018, 1062</t>
  </si>
  <si>
    <t>Wilderness</t>
  </si>
  <si>
    <t>ROAD</t>
  </si>
  <si>
    <t>Road zone, with nature, with some filler, sparse mobs, has potential for a low-level zone, connects:  Secomber, Dawn Pass Trail/Lonely Moore, Orc Ruins</t>
  </si>
  <si>
    <t xml:space="preserve">[1690] </t>
  </si>
  <si>
    <t>Pixel Location</t>
  </si>
  <si>
    <t xml:space="preserve">Evermeet- West Coast Road North </t>
  </si>
  <si>
    <t>Staff</t>
  </si>
  <si>
    <t xml:space="preserve">1688, 1691, </t>
  </si>
  <si>
    <t>Elven forest, road rooms, connected to more evermeet roads</t>
  </si>
  <si>
    <t>Other</t>
  </si>
  <si>
    <t>Chk</t>
  </si>
  <si>
    <t xml:space="preserve">[1090] </t>
  </si>
  <si>
    <t>The Evermoor Way</t>
  </si>
  <si>
    <t xml:space="preserve">Tempus    </t>
  </si>
  <si>
    <t>Marked</t>
  </si>
  <si>
    <t>1023, 1255, 1092, 1091</t>
  </si>
  <si>
    <t>Road</t>
  </si>
  <si>
    <t>Road, 20 mobs, 0 objs, 1 hlquest - should keep methinks</t>
  </si>
  <si>
    <t>Count</t>
  </si>
  <si>
    <t xml:space="preserve">[1286] </t>
  </si>
  <si>
    <t xml:space="preserve">Greycloak Hills (path around it) </t>
  </si>
  <si>
    <t>1018, 1280, 1370, 5531</t>
  </si>
  <si>
    <t>HILLS</t>
  </si>
  <si>
    <t>Zone #</t>
  </si>
  <si>
    <t>Small connecting hill zone, sparse.  Connected to: Dawn Pass Trail + Lonely Moor, Halfway Inn, Battle of Bones, Pelleor's Praire</t>
  </si>
  <si>
    <t xml:space="preserve">[1688] </t>
  </si>
  <si>
    <t xml:space="preserve">Evermeet- Main Road        </t>
  </si>
  <si>
    <t>NAME</t>
  </si>
  <si>
    <t>1692, 1689, 1690</t>
  </si>
  <si>
    <t xml:space="preserve">[1103] </t>
  </si>
  <si>
    <t>The Stump Bog</t>
  </si>
  <si>
    <t xml:space="preserve">Tempus       </t>
  </si>
  <si>
    <t>1044, 1384, 1023</t>
  </si>
  <si>
    <t>Bog</t>
  </si>
  <si>
    <t>Bog grid with little cemetary, very interconnected with Stag Forest, few mobs 1 object, no quests</t>
  </si>
  <si>
    <t xml:space="preserve">[1689] </t>
  </si>
  <si>
    <t xml:space="preserve">Evermeet- East Coast Road North </t>
  </si>
  <si>
    <t>Levels</t>
  </si>
  <si>
    <t>1688, 1142, 1693, 1402</t>
  </si>
  <si>
    <t>Elven forest, road rooms, connected to more evermeet roads, sorched forest, Rogue's Lair</t>
  </si>
  <si>
    <t>Connection</t>
  </si>
  <si>
    <t>X</t>
  </si>
  <si>
    <t xml:space="preserve">[1264] </t>
  </si>
  <si>
    <t>Key</t>
  </si>
  <si>
    <t>Roads of Amn</t>
  </si>
  <si>
    <t>Gear</t>
  </si>
  <si>
    <t xml:space="preserve"> Tempus       </t>
  </si>
  <si>
    <t>Quest</t>
  </si>
  <si>
    <t>Y</t>
  </si>
  <si>
    <t>1040, 1433, 1071, 1596</t>
  </si>
  <si>
    <t>Mid-sized road, has some hlquests, some mobs/objects - keeper</t>
  </si>
  <si>
    <t>Zusuk Notes</t>
  </si>
  <si>
    <t>A</t>
  </si>
  <si>
    <t xml:space="preserve">[1049] </t>
  </si>
  <si>
    <t>Amphail</t>
  </si>
  <si>
    <t xml:space="preserve"> Taure          </t>
  </si>
  <si>
    <t>1023, 1045</t>
  </si>
  <si>
    <t xml:space="preserve">Village, Foresty, </t>
  </si>
  <si>
    <t>Smallish village, nice variety, good quality, has hlquests</t>
  </si>
  <si>
    <t>Map</t>
  </si>
  <si>
    <t xml:space="preserve">[1153] </t>
  </si>
  <si>
    <t>The Friendly Arm</t>
  </si>
  <si>
    <t>B</t>
  </si>
  <si>
    <t>Links</t>
  </si>
  <si>
    <t xml:space="preserve"> Lasus    </t>
  </si>
  <si>
    <t>Town Connected to Road</t>
  </si>
  <si>
    <t>Keys</t>
  </si>
  <si>
    <t>gnome hometown, small-medium, a little hlquests, looks good</t>
  </si>
  <si>
    <t xml:space="preserve">[1339] </t>
  </si>
  <si>
    <t>High Forest (South)</t>
  </si>
  <si>
    <t xml:space="preserve"> Taure </t>
  </si>
  <si>
    <t>Mobs</t>
  </si>
  <si>
    <t>Shops</t>
  </si>
  <si>
    <t>On Map</t>
  </si>
  <si>
    <t xml:space="preserve">1045, 1430, </t>
  </si>
  <si>
    <t>Connected to: High Forest East, Eastern Roads.  Road zone</t>
  </si>
  <si>
    <t xml:space="preserve">[1280] </t>
  </si>
  <si>
    <t>The Halfway Inn</t>
  </si>
  <si>
    <t xml:space="preserve"> Taure  </t>
  </si>
  <si>
    <t xml:space="preserve">1286, 1208, </t>
  </si>
  <si>
    <t>PLAINS</t>
  </si>
  <si>
    <t>Connected to: Greycloak Hills, Evereska Way.  Small Inn zone, looks good</t>
  </si>
  <si>
    <t xml:space="preserve">[1693] </t>
  </si>
  <si>
    <t xml:space="preserve">Evermeet -Road to Elven Settlement </t>
  </si>
  <si>
    <t xml:space="preserve">1402, 1064, 1689, </t>
  </si>
  <si>
    <t>Elven forest, road rooms, connected to more evermeet roads, Scorched Forest, Elven Settlement</t>
  </si>
  <si>
    <t>_locked_</t>
  </si>
  <si>
    <t>Illithid Enclave</t>
  </si>
  <si>
    <t xml:space="preserve">[1142] </t>
  </si>
  <si>
    <t>Rogue's Lair</t>
  </si>
  <si>
    <t>Underworld</t>
  </si>
  <si>
    <t xml:space="preserve"> Kiaransalee/Taure </t>
  </si>
  <si>
    <t>o</t>
  </si>
  <si>
    <t>1689, 1418</t>
  </si>
  <si>
    <t>Valley with Trees</t>
  </si>
  <si>
    <t>smallish confusing rogue lair zone, looks fun with some hlquests!</t>
  </si>
  <si>
    <t xml:space="preserve">[1047] </t>
  </si>
  <si>
    <t>Bargewright Inn</t>
  </si>
  <si>
    <t>x</t>
  </si>
  <si>
    <t>Inn / Hills</t>
  </si>
  <si>
    <t>medium very nice inn zone, lots of hlquests</t>
  </si>
  <si>
    <t>See Diagram/Worksheet</t>
  </si>
  <si>
    <t xml:space="preserve">[1133] </t>
  </si>
  <si>
    <t>Ancient Mines</t>
  </si>
  <si>
    <t xml:space="preserve">  Staff      </t>
  </si>
  <si>
    <t>The Labyrinth</t>
  </si>
  <si>
    <t>https://drive.google.com/file/d/1KalnU7SJugmNI7BWJeMT1jssNbRR-Jkq/view?usp=sharing</t>
  </si>
  <si>
    <t>Mountain / Mines</t>
  </si>
  <si>
    <t>small mid-level zone, undead theme, underground</t>
  </si>
  <si>
    <t xml:space="preserve">[1066] </t>
  </si>
  <si>
    <t>Red Larch</t>
  </si>
  <si>
    <t>Temple of Ghaundaur</t>
  </si>
  <si>
    <t xml:space="preserve"> Arjin/Staff     </t>
  </si>
  <si>
    <t>Village &amp; Surrounding</t>
  </si>
  <si>
    <t>Fun little zone, has some hlquests, mobs &amp; items</t>
  </si>
  <si>
    <t>Fire Giants</t>
  </si>
  <si>
    <t xml:space="preserve">[1691] </t>
  </si>
  <si>
    <t xml:space="preserve">Evermeet- Ancient Forest- 1 </t>
  </si>
  <si>
    <t xml:space="preserve">1690, 1157, </t>
  </si>
  <si>
    <t>Underdark Tunnel</t>
  </si>
  <si>
    <t>Elven forest, road rooms, connected to more evermeet roads, Hidden Mine</t>
  </si>
  <si>
    <t xml:space="preserve">[1260] </t>
  </si>
  <si>
    <t>High Horn</t>
  </si>
  <si>
    <t>Gracklstugh [duergar hometown]</t>
  </si>
  <si>
    <t xml:space="preserve"> Taure        </t>
  </si>
  <si>
    <t>all</t>
  </si>
  <si>
    <t>Town</t>
  </si>
  <si>
    <t>Small town, one quest, looks great</t>
  </si>
  <si>
    <t>[1468]</t>
  </si>
  <si>
    <t>Wormwrithings</t>
  </si>
  <si>
    <t>Trollbark Forest</t>
  </si>
  <si>
    <t xml:space="preserve"> Gargauth     </t>
  </si>
  <si>
    <t>None</t>
  </si>
  <si>
    <t>Darklake</t>
  </si>
  <si>
    <t>FOREST</t>
  </si>
  <si>
    <t>Forest zone, well done, complete</t>
  </si>
  <si>
    <t xml:space="preserve">[1250] </t>
  </si>
  <si>
    <t>Secomber</t>
  </si>
  <si>
    <t>Caverns of the Underdark</t>
  </si>
  <si>
    <t xml:space="preserve"> Taure         </t>
  </si>
  <si>
    <t>5515, 1020, 1045</t>
  </si>
  <si>
    <t>City</t>
  </si>
  <si>
    <t>nice sized town with quests, lots of mobs and items</t>
  </si>
  <si>
    <t>Kuo-Toa Village</t>
  </si>
  <si>
    <t xml:space="preserve">[1266] </t>
  </si>
  <si>
    <t>Trollclaws</t>
  </si>
  <si>
    <t xml:space="preserve"> Rynuk          </t>
  </si>
  <si>
    <t>Elg'cahl Niar</t>
  </si>
  <si>
    <t xml:space="preserve">1040, </t>
  </si>
  <si>
    <t>Hills/SWAMP</t>
  </si>
  <si>
    <t>Connected to Coast Way.</t>
  </si>
  <si>
    <t xml:space="preserve">[1202] </t>
  </si>
  <si>
    <t>Barbarian Encampment</t>
  </si>
  <si>
    <t>Dark Dominion</t>
  </si>
  <si>
    <t xml:space="preserve"> Velsharoon </t>
  </si>
  <si>
    <t>ashenport [humans]</t>
  </si>
  <si>
    <t>Menzoberranzan [drow hometown]</t>
  </si>
  <si>
    <t>Camp</t>
  </si>
  <si>
    <t>Very small zonelet, 1 hlquest, looks nice</t>
  </si>
  <si>
    <t>city</t>
  </si>
  <si>
    <t xml:space="preserve">[1430] </t>
  </si>
  <si>
    <t>High Forest - East</t>
  </si>
  <si>
    <t>The Deep Caverns</t>
  </si>
  <si>
    <t xml:space="preserve">1339, 1801, </t>
  </si>
  <si>
    <t>ROAD/FOREST</t>
  </si>
  <si>
    <t>Big forest zone, connects: Marble Pyramid, High Forest South</t>
  </si>
  <si>
    <t>Northeastern Underdark</t>
  </si>
  <si>
    <t xml:space="preserve">[1179] </t>
  </si>
  <si>
    <t>Triel</t>
  </si>
  <si>
    <t>MQ</t>
  </si>
  <si>
    <t xml:space="preserve"> Lliira              </t>
  </si>
  <si>
    <t>1072, 1086</t>
  </si>
  <si>
    <t>Labyrinth of the Mad Drow</t>
  </si>
  <si>
    <t>Village</t>
  </si>
  <si>
    <t>nice little zone, lots of hlquests</t>
  </si>
  <si>
    <t xml:space="preserve">[1071] </t>
  </si>
  <si>
    <t>Gentle Oak Valley</t>
  </si>
  <si>
    <t>25+</t>
  </si>
  <si>
    <t xml:space="preserve"> Vhaerun </t>
  </si>
  <si>
    <t>Mantol-Derith Tunnels</t>
  </si>
  <si>
    <t>Forest</t>
  </si>
  <si>
    <t>very small zonelet, forest with centaur/voadkyn</t>
  </si>
  <si>
    <t>Hometown, meant for humans, CAPITAL CITY</t>
  </si>
  <si>
    <t>needs some mobs</t>
  </si>
  <si>
    <t xml:space="preserve">[1455] </t>
  </si>
  <si>
    <t>Sloopdilmonpolop, The city of pools</t>
  </si>
  <si>
    <t>Mantol-Derith</t>
  </si>
  <si>
    <t xml:space="preserve"> Talos </t>
  </si>
  <si>
    <t>ardeep</t>
  </si>
  <si>
    <t>incomplete</t>
  </si>
  <si>
    <t>6 - 10</t>
  </si>
  <si>
    <t>Kuo Toa City</t>
  </si>
  <si>
    <t>Massive Kuo-Toa area, city, underwater did not convert, has some unfinished mobiles, and messed up room descrips, located in underground river connected to mountains</t>
  </si>
  <si>
    <t>The Grimlock Burrows</t>
  </si>
  <si>
    <t xml:space="preserve">[1692] </t>
  </si>
  <si>
    <t xml:space="preserve">Evermeet- Misc Rooms/Mobs </t>
  </si>
  <si>
    <t>Planes of Existence</t>
  </si>
  <si>
    <t>Fire Giant Keep</t>
  </si>
  <si>
    <t>1688,</t>
  </si>
  <si>
    <t>https://drive.google.com/file/d/1Zowbdum1Sdpg8kqhgk-aV_XfGvUaMrlZ/view?usp=sharing</t>
  </si>
  <si>
    <t>N/A</t>
  </si>
  <si>
    <t>30+</t>
  </si>
  <si>
    <t xml:space="preserve">[1070] </t>
  </si>
  <si>
    <t>connects via a portal in fire giants (1067) in a hidden chamber behind the fire giant throne room to the east.  Portal room is 106703 and the portal goes to 34654.</t>
  </si>
  <si>
    <t>A Dwarven Stronghold</t>
  </si>
  <si>
    <t>Road zone, has some other neat stuff, connects:  Delimiyr Road, Stag Forest, Logger's Camp</t>
  </si>
  <si>
    <t xml:space="preserve">Thruar </t>
  </si>
  <si>
    <t>wizard mansion</t>
  </si>
  <si>
    <t xml:space="preserve">Amenth'G'narr </t>
  </si>
  <si>
    <t>Stronghold</t>
  </si>
  <si>
    <t>5 to 8</t>
  </si>
  <si>
    <t>dwarf stronghold zonelet, nohlquests, looks complete</t>
  </si>
  <si>
    <t>nice zone, attached to labby (1281)</t>
  </si>
  <si>
    <t xml:space="preserve">[1204] </t>
  </si>
  <si>
    <t>Hill's Edge I</t>
  </si>
  <si>
    <t xml:space="preserve"> Lathander/Zraiel </t>
  </si>
  <si>
    <t>Arath Zuul</t>
  </si>
  <si>
    <t>almost complete, missing items/quests</t>
  </si>
  <si>
    <t>city, almost complete, looks to have a lot of potentnial</t>
  </si>
  <si>
    <t xml:space="preserve">[1040] </t>
  </si>
  <si>
    <t>The Coast Way</t>
  </si>
  <si>
    <t>Crystal Caverns</t>
  </si>
  <si>
    <t xml:space="preserve">Mask         </t>
  </si>
  <si>
    <t>almost complete, potential portal to earth plane, missing items/quests</t>
  </si>
  <si>
    <t>Well scripted noob zone</t>
  </si>
  <si>
    <t>road zone, fairly empty, 5 mobs, 1 ferry obj, 0 hlquests</t>
  </si>
  <si>
    <t xml:space="preserve">[1253] </t>
  </si>
  <si>
    <t>Iron Road</t>
  </si>
  <si>
    <t>xxx</t>
  </si>
  <si>
    <t xml:space="preserve"> Tempus          </t>
  </si>
  <si>
    <t>-Placemarker by Zusuk-</t>
  </si>
  <si>
    <t>1089, 1191, 1200, 1451, 1201, 1025, 1281</t>
  </si>
  <si>
    <t>Rat Hills</t>
  </si>
  <si>
    <t>has white dragon, road zones, 15 hlquests, 16 mobs, 11 items</t>
  </si>
  <si>
    <t>9 to 12</t>
  </si>
  <si>
    <t xml:space="preserve">[1157] </t>
  </si>
  <si>
    <t>Undermountain {Lvl I}</t>
  </si>
  <si>
    <t>Hidden Mine</t>
  </si>
  <si>
    <t xml:space="preserve"> Bruth         </t>
  </si>
  <si>
    <t>Mine</t>
  </si>
  <si>
    <t>Nice little zonelet, looks solid</t>
  </si>
  <si>
    <t xml:space="preserve">[1064] </t>
  </si>
  <si>
    <t>(1030) Ashenport</t>
  </si>
  <si>
    <t>Elven Settlement</t>
  </si>
  <si>
    <t xml:space="preserve">Staff     </t>
  </si>
  <si>
    <t>Forest / Village</t>
  </si>
  <si>
    <t>Ok low level leveling zone - has some lowbie leveling equipment</t>
  </si>
  <si>
    <t>zone is incomplete</t>
  </si>
  <si>
    <t>nice little zone, 7 hlquests, 40 mobs, 42 items</t>
  </si>
  <si>
    <t xml:space="preserve">[1137] </t>
  </si>
  <si>
    <t>The Giant Darkwood Tree</t>
  </si>
  <si>
    <t>Ashabenford</t>
  </si>
  <si>
    <t>13 to 15</t>
  </si>
  <si>
    <t xml:space="preserve"> Iyachtu       </t>
  </si>
  <si>
    <t>Ashenport Harbor [city]</t>
  </si>
  <si>
    <t>Small Content + Road</t>
  </si>
  <si>
    <t>small content + roads, 20 hlquests, 34 mobs, 38 items</t>
  </si>
  <si>
    <t xml:space="preserve">[1325] </t>
  </si>
  <si>
    <t>The Serpent Hills</t>
  </si>
  <si>
    <t xml:space="preserve"> Vhaerun/Kiaransalee </t>
  </si>
  <si>
    <t xml:space="preserve">1297, 1328, 1327, 1389, 1403, 1183, </t>
  </si>
  <si>
    <t>FOREST/HILLS</t>
  </si>
  <si>
    <t>Road zone, with quests, has a lot of character.  Connected to: Forest of Wyrms, Amiska's Keep, Snake Pit, Zzsesssak Zuhl, Scorched Forest, Serpent Path</t>
  </si>
  <si>
    <t xml:space="preserve">[1094] </t>
  </si>
  <si>
    <t>Tesh Trail</t>
  </si>
  <si>
    <t xml:space="preserve"> Tempus         </t>
  </si>
  <si>
    <t>1089, 1110, 1126</t>
  </si>
  <si>
    <t>road zone, 0 hlquests, 2 mobs, 0 items</t>
  </si>
  <si>
    <t xml:space="preserve">[1380] </t>
  </si>
  <si>
    <t>The Stonelands</t>
  </si>
  <si>
    <t xml:space="preserve"> Tempus     </t>
  </si>
  <si>
    <t xml:space="preserve">1089, 1088, 1337, </t>
  </si>
  <si>
    <t>NEAR MOUNTAINS</t>
  </si>
  <si>
    <t>Connected to: The North Ride, The Moonshae Ride, The East Way.  Road-type zone</t>
  </si>
  <si>
    <t>I</t>
  </si>
  <si>
    <t>Well scripted, almost complete</t>
  </si>
  <si>
    <t>Total</t>
  </si>
  <si>
    <t>spider swamp</t>
  </si>
  <si>
    <t>16 to 18</t>
  </si>
  <si>
    <t xml:space="preserve">[1086] </t>
  </si>
  <si>
    <t>The Dusk Road</t>
  </si>
  <si>
    <t>Well scripted Detta zone</t>
  </si>
  <si>
    <t>memlin caverns</t>
  </si>
  <si>
    <t>road zone, basically nothing in it.. don't need/want to attach as far as (zusuk) can tell</t>
  </si>
  <si>
    <t>18 to 20</t>
  </si>
  <si>
    <t xml:space="preserve">[1087] </t>
  </si>
  <si>
    <t>The High Road - South</t>
  </si>
  <si>
    <t xml:space="preserve">Tempus </t>
  </si>
  <si>
    <t>quagmire II</t>
  </si>
  <si>
    <t>22 to 25</t>
  </si>
  <si>
    <t xml:space="preserve">[1089] </t>
  </si>
  <si>
    <t>The North Ride</t>
  </si>
  <si>
    <t xml:space="preserve">Tempus      </t>
  </si>
  <si>
    <t>1113, 1380, 1110, 1075, 1094, 1253</t>
  </si>
  <si>
    <t>basic mob grid</t>
  </si>
  <si>
    <t xml:space="preserve">[1072] </t>
  </si>
  <si>
    <t>neverwinter catacombs (rename!)</t>
  </si>
  <si>
    <t>The Trade Way II</t>
  </si>
  <si>
    <t>25 to 28</t>
  </si>
  <si>
    <t>1015, 1040, 1217, 1179</t>
  </si>
  <si>
    <t>Empty of loads road, connecting zone to: Trade Way, Coast Way, Soubar, Triel</t>
  </si>
  <si>
    <t xml:space="preserve">[1337] </t>
  </si>
  <si>
    <t>The East Way</t>
  </si>
  <si>
    <t xml:space="preserve"> Tempus/Mask/Vhaerun </t>
  </si>
  <si>
    <t>Needs work</t>
  </si>
  <si>
    <t>1214, 1106, 1380</t>
  </si>
  <si>
    <t>Mere of Dead Men</t>
  </si>
  <si>
    <t>Connected to: Arabel, Lost City of Thunderholme, Stonelands.  Road Zone</t>
  </si>
  <si>
    <t>29 to 30</t>
  </si>
  <si>
    <t xml:space="preserve">[1341] </t>
  </si>
  <si>
    <t>High Forest II</t>
  </si>
  <si>
    <t xml:space="preserve"> Taure   </t>
  </si>
  <si>
    <t>dump / replace this zone, its empty</t>
  </si>
  <si>
    <t xml:space="preserve">[5520] </t>
  </si>
  <si>
    <t xml:space="preserve">Road West of Secomber      </t>
  </si>
  <si>
    <t>Corm Orp (rename!) [halflings]</t>
  </si>
  <si>
    <t xml:space="preserve">[5527] </t>
  </si>
  <si>
    <t>Skullport-Trade Lanes</t>
  </si>
  <si>
    <t xml:space="preserve">Incomp </t>
  </si>
  <si>
    <t xml:space="preserve"> Gargauth </t>
  </si>
  <si>
    <t>Halfling Hometown</t>
  </si>
  <si>
    <t xml:space="preserve">[5529] </t>
  </si>
  <si>
    <t>Skullport-The Heart</t>
  </si>
  <si>
    <t>graven hollow</t>
  </si>
  <si>
    <t>7 to 11</t>
  </si>
  <si>
    <t xml:space="preserve">[1221] </t>
  </si>
  <si>
    <t>Kalthanan Empty Zone</t>
  </si>
  <si>
    <t xml:space="preserve"> Some zone       </t>
  </si>
  <si>
    <t>hardbuckler (rename!) [gnomes]</t>
  </si>
  <si>
    <t>Empty zone</t>
  </si>
  <si>
    <t xml:space="preserve">[1023] </t>
  </si>
  <si>
    <t>The Long Road</t>
  </si>
  <si>
    <t>1021, 1292, 1068, 1142, 1066, 1040, 1049, 1159, 1090, 1045, 1103</t>
  </si>
  <si>
    <t>Road - pretty much empty, lets drop it</t>
  </si>
  <si>
    <t>Gnome Hometown</t>
  </si>
  <si>
    <t xml:space="preserve">[1045] </t>
  </si>
  <si>
    <t>Eastern Roads</t>
  </si>
  <si>
    <t>pesh (formerly broken tus) [half-orc]</t>
  </si>
  <si>
    <t xml:space="preserve"> Tempus      </t>
  </si>
  <si>
    <t>On Map?</t>
  </si>
  <si>
    <t>1049, 1023, 1047, 1339,1250</t>
  </si>
  <si>
    <t>North of Waterdeep</t>
  </si>
  <si>
    <t xml:space="preserve">[1091] </t>
  </si>
  <si>
    <t>The Rauvin Ride</t>
  </si>
  <si>
    <t xml:space="preserve">Tempus     </t>
  </si>
  <si>
    <t>Orc / HalfOrc Hometown</t>
  </si>
  <si>
    <t>1090, 1133, 1330, 1147, 1202, 1174</t>
  </si>
  <si>
    <t>Road - looks like we should drop this, nothing in it</t>
  </si>
  <si>
    <t>tugrahk gol (rename!) [half-troll]</t>
  </si>
  <si>
    <t xml:space="preserve">[1436] </t>
  </si>
  <si>
    <t>Plane of Ice</t>
  </si>
  <si>
    <t>Logger's Camp</t>
  </si>
  <si>
    <t>Plane of the Abyss</t>
  </si>
  <si>
    <t>(1440) Ardeep Forest</t>
  </si>
  <si>
    <t xml:space="preserve">Lathander     </t>
  </si>
  <si>
    <t>ASTRAL</t>
  </si>
  <si>
    <t>Could do with some gear and a quest or two</t>
  </si>
  <si>
    <t>Early in development, lots of unfinished rooms, no mobiles, very few objects</t>
  </si>
  <si>
    <t xml:space="preserve">[1020] </t>
  </si>
  <si>
    <t>Delimiyr Route</t>
  </si>
  <si>
    <t>Mithril Hall Palace [city]</t>
  </si>
  <si>
    <t>(1081) Mithril Hall</t>
  </si>
  <si>
    <t>The Hive of Passion [unfinished]</t>
  </si>
  <si>
    <t>Troll / HalfTroll Hometown</t>
  </si>
  <si>
    <t>Incomplete, some missing descriptions, road zone, very sparse mobiles, has potential</t>
  </si>
  <si>
    <t>evereska way (rename!) [elf/half-elf]</t>
  </si>
  <si>
    <t xml:space="preserve">[1021] </t>
  </si>
  <si>
    <t>Evereska  [elf hometown]</t>
  </si>
  <si>
    <t>Forest connected to Elf / HalfElf Hometown</t>
  </si>
  <si>
    <t>orc ruins</t>
  </si>
  <si>
    <t>The Plane of Shadows</t>
  </si>
  <si>
    <t>The High Road - North</t>
  </si>
  <si>
    <t>Abyssal Vortex</t>
  </si>
  <si>
    <t>1043, 1023, 1226, 1224, 1575, 1097, 1237, 1157, 1107, 1267</t>
  </si>
  <si>
    <t>The Ethereal Plane</t>
  </si>
  <si>
    <t>Mid-sized, very central road, 9 mobs, o objects, 0 hlquests - probably should drop</t>
  </si>
  <si>
    <t>(1208) Evereska Way</t>
  </si>
  <si>
    <t>blindbreak rest</t>
  </si>
  <si>
    <t>Cloud Realm of Stronmaus</t>
  </si>
  <si>
    <t>12 to 15</t>
  </si>
  <si>
    <t xml:space="preserve">[1088] </t>
  </si>
  <si>
    <t>The Moonsea Ride</t>
  </si>
  <si>
    <t>Jotunheim</t>
  </si>
  <si>
    <t>1380, 1087, 1113, 1137</t>
  </si>
  <si>
    <t>road zone, 5 mobs, 0 objs/hlquests - probably don't need to keep</t>
  </si>
  <si>
    <t xml:space="preserve">[1434] </t>
  </si>
  <si>
    <t>bee zone</t>
  </si>
  <si>
    <t xml:space="preserve"> umberlee         </t>
  </si>
  <si>
    <t>The Astral Plane</t>
  </si>
  <si>
    <t>Midway through development, rooms unfinished, mobiles done</t>
  </si>
  <si>
    <t xml:space="preserve">[1134] </t>
  </si>
  <si>
    <t>Candlekeep Proper</t>
  </si>
  <si>
    <t>Hardbuckler Caverns [city gnome]</t>
  </si>
  <si>
    <t xml:space="preserve"> Talos   </t>
  </si>
  <si>
    <t>Avernus</t>
  </si>
  <si>
    <t>(1185) Hardbuckler</t>
  </si>
  <si>
    <t>Simple zone for quest line</t>
  </si>
  <si>
    <t>looks to have lots of potential, but not quite complete</t>
  </si>
  <si>
    <t>mithril hall (rename!) [dwarves]</t>
  </si>
  <si>
    <t xml:space="preserve">[1108] </t>
  </si>
  <si>
    <t>Skull Crag</t>
  </si>
  <si>
    <t>Goblinoid Warrens</t>
  </si>
  <si>
    <t>Earth Plane</t>
  </si>
  <si>
    <t xml:space="preserve">  Staff         </t>
  </si>
  <si>
    <t>(1272) Reaching Woods</t>
  </si>
  <si>
    <t>MOUNTAIN</t>
  </si>
  <si>
    <t>purple dragon theme, zone almost complete, just needs mobiles..  around level 18?</t>
  </si>
  <si>
    <t xml:space="preserve">[1197] </t>
  </si>
  <si>
    <t>The Sewers of CandleKeep</t>
  </si>
  <si>
    <t>Dwarf Hometown</t>
  </si>
  <si>
    <t>dollhouse</t>
  </si>
  <si>
    <t>12 to 16</t>
  </si>
  <si>
    <t>Elemental Plane</t>
  </si>
  <si>
    <t xml:space="preserve">[1423] </t>
  </si>
  <si>
    <t>The Abyssal Stronghold</t>
  </si>
  <si>
    <t>Quagmire I</t>
  </si>
  <si>
    <t xml:space="preserve"> Iyachtu </t>
  </si>
  <si>
    <t>(132) Quagmire II</t>
  </si>
  <si>
    <t>ABYSS</t>
  </si>
  <si>
    <t>mobile grid</t>
  </si>
  <si>
    <t>Code experiment to randomize connectedness between rooms</t>
  </si>
  <si>
    <t>The Plane of Magma</t>
  </si>
  <si>
    <t xml:space="preserve">[5536] </t>
  </si>
  <si>
    <t xml:space="preserve">Hellgate Keep              </t>
  </si>
  <si>
    <t>mosaic cave</t>
  </si>
  <si>
    <t>16 to 17</t>
  </si>
  <si>
    <t xml:space="preserve"> King's Lodge [city barbarian]</t>
  </si>
  <si>
    <t>(1174) Grunwald</t>
  </si>
  <si>
    <t>SPECIAL</t>
  </si>
  <si>
    <t>Field, to the north is 'nether' mountains, west is a huge forest, near two rivers including delimbyr and near 'skull' creek</t>
  </si>
  <si>
    <t>Air Plane</t>
  </si>
  <si>
    <t xml:space="preserve">[1375] </t>
  </si>
  <si>
    <t xml:space="preserve">Malaugrym Castle           </t>
  </si>
  <si>
    <t>Upland Rise (Neverwinter)</t>
  </si>
  <si>
    <t>Well scripted, mid-high level zone</t>
  </si>
  <si>
    <t>(1224) Neverwinter - North</t>
  </si>
  <si>
    <t>Ruined Keep</t>
  </si>
  <si>
    <t>Unfinished, fairly early in development</t>
  </si>
  <si>
    <t>The Fire Plane</t>
  </si>
  <si>
    <t>17 to 20</t>
  </si>
  <si>
    <t xml:space="preserve">[1372] </t>
  </si>
  <si>
    <t>Ch'Chitl</t>
  </si>
  <si>
    <t>Neverwinter - Castle [city]</t>
  </si>
  <si>
    <t xml:space="preserve"> Kiaransalee/Tempus </t>
  </si>
  <si>
    <t>HOMET</t>
  </si>
  <si>
    <t>Hometown, meant for Illithids, missing room descrips and a lot of mobile descrips</t>
  </si>
  <si>
    <t>Tower of Kenjin</t>
  </si>
  <si>
    <t xml:space="preserve">[1196] </t>
  </si>
  <si>
    <t>Mid-high level zone</t>
  </si>
  <si>
    <t>Neverwinter - Cloaktower [city]</t>
  </si>
  <si>
    <t>Sunken Pirate Ship</t>
  </si>
  <si>
    <t>Mosswood [city]</t>
  </si>
  <si>
    <t xml:space="preserve"> Gok    </t>
  </si>
  <si>
    <t>incomplete, 1 mob, few items, unfinished rooms</t>
  </si>
  <si>
    <t>Neverwinter - Sewers  [city]</t>
  </si>
  <si>
    <t xml:space="preserve">[1115] </t>
  </si>
  <si>
    <t>Bleak Palace</t>
  </si>
  <si>
    <t xml:space="preserve">Tymora        </t>
  </si>
  <si>
    <t>Hulburg</t>
  </si>
  <si>
    <t>titan's palace, looks very close to complete, missing treasure/objects/quests; unattached portal leads here: 111505</t>
  </si>
  <si>
    <t>Cloud Labryinth</t>
  </si>
  <si>
    <t xml:space="preserve">[1160] </t>
  </si>
  <si>
    <t>Tagad</t>
  </si>
  <si>
    <t>Starting village</t>
  </si>
  <si>
    <t>(1507) Hulburg Trail</t>
  </si>
  <si>
    <t xml:space="preserve"> The Abyss           </t>
  </si>
  <si>
    <t>The Depths</t>
  </si>
  <si>
    <t>20 to 22</t>
  </si>
  <si>
    <t>Incomplete!  No mobs, very limited items, no quests, rooms -almost- done,  fully mapped out</t>
  </si>
  <si>
    <t xml:space="preserve">[5523] </t>
  </si>
  <si>
    <t>Skullport-The Port/Skull Island</t>
  </si>
  <si>
    <t>Unfinished?  Treyorn's zone</t>
  </si>
  <si>
    <t>The Reaching Woods</t>
  </si>
  <si>
    <t>?</t>
  </si>
  <si>
    <t xml:space="preserve"> </t>
  </si>
  <si>
    <t xml:space="preserve">[ 55] </t>
  </si>
  <si>
    <t>The Tower of Twilight</t>
  </si>
  <si>
    <t>none</t>
  </si>
  <si>
    <t>Needs work, near Everska</t>
  </si>
  <si>
    <t xml:space="preserve">New Thalos II              </t>
  </si>
  <si>
    <t xml:space="preserve">(1097) The Neverwinter Wood </t>
  </si>
  <si>
    <t>Glass Tower</t>
  </si>
  <si>
    <t>portal @ 144676</t>
  </si>
  <si>
    <t xml:space="preserve">end game, no quests, maze, not a lot of content, seems complete, </t>
  </si>
  <si>
    <t>Arena</t>
  </si>
  <si>
    <t>Duke</t>
  </si>
  <si>
    <t>(1030) Ashenport | (1056) Gracklstugh</t>
  </si>
  <si>
    <t>Event</t>
  </si>
  <si>
    <t>Water Plane</t>
  </si>
  <si>
    <t>pvp arena, connected via portals to two big cities</t>
  </si>
  <si>
    <t>Part of Staff-held quest event- exit to wild temporarily disconnected</t>
  </si>
  <si>
    <t>stock</t>
  </si>
  <si>
    <t>Road through Orlbar</t>
  </si>
  <si>
    <t>Orcish Fort</t>
  </si>
  <si>
    <t>n/a</t>
  </si>
  <si>
    <t>15 to 16</t>
  </si>
  <si>
    <t>(101804) Dawn Pass &amp; Lonely Moor</t>
  </si>
  <si>
    <t>incomplete, seems to be a road to a (non-existant) city called orlbar</t>
  </si>
  <si>
    <t xml:space="preserve">[ 56] </t>
  </si>
  <si>
    <t xml:space="preserve">New Thalos Wilderness      </t>
  </si>
  <si>
    <t>The Luskan Outpost</t>
  </si>
  <si>
    <t>Luskan Southbank</t>
  </si>
  <si>
    <t xml:space="preserve">[ 58] </t>
  </si>
  <si>
    <t xml:space="preserve">Cottage                    </t>
  </si>
  <si>
    <t>Ulcaster's College of High Sorcery</t>
  </si>
  <si>
    <t>20's</t>
  </si>
  <si>
    <t>Malvek</t>
  </si>
  <si>
    <t>Beregost</t>
  </si>
  <si>
    <t>Lizard Marsh</t>
  </si>
  <si>
    <t xml:space="preserve">[ 71] </t>
  </si>
  <si>
    <t xml:space="preserve">Second Sewer               </t>
  </si>
  <si>
    <t>Beneath the Eagletower [city]</t>
  </si>
  <si>
    <t>Redferne</t>
  </si>
  <si>
    <t>(1275) Evereska</t>
  </si>
  <si>
    <t xml:space="preserve">[ 73] </t>
  </si>
  <si>
    <t xml:space="preserve">Tunnels in the Sewer       </t>
  </si>
  <si>
    <t>Llanwryn Keep [neutral/evil hometown]</t>
  </si>
  <si>
    <t>Swinton Goldwater's Hideout</t>
  </si>
  <si>
    <t>20ish</t>
  </si>
  <si>
    <t xml:space="preserve">[ 80] </t>
  </si>
  <si>
    <t xml:space="preserve">Maze of Madness            </t>
  </si>
  <si>
    <t>need fixed device, activate device in fenton's basement, exits to tilverton</t>
  </si>
  <si>
    <t>Gamia</t>
  </si>
  <si>
    <t>Hometown (Neutral/Evilish)</t>
  </si>
  <si>
    <t>Soubar Underhalls</t>
  </si>
  <si>
    <t>Group</t>
  </si>
  <si>
    <t>Soubar</t>
  </si>
  <si>
    <t>Crimson Flame {*wilderness portal}</t>
  </si>
  <si>
    <t xml:space="preserve">[246] </t>
  </si>
  <si>
    <t>30 group</t>
  </si>
  <si>
    <t xml:space="preserve">The Nether II              </t>
  </si>
  <si>
    <t>end game attached to soubar</t>
  </si>
  <si>
    <t>Kaan</t>
  </si>
  <si>
    <t>Crypts of Darekoth</t>
  </si>
  <si>
    <t>Small Group</t>
  </si>
  <si>
    <t>Forest of Wyrms ()</t>
  </si>
  <si>
    <t xml:space="preserve">[268] </t>
  </si>
  <si>
    <t xml:space="preserve">Vice Island II             </t>
  </si>
  <si>
    <t>Very very small little crypt zone</t>
  </si>
  <si>
    <t>Questor</t>
  </si>
  <si>
    <t>Frozen Castle</t>
  </si>
  <si>
    <t>25-30</t>
  </si>
  <si>
    <t>Temple in the Sky</t>
  </si>
  <si>
    <t>Small group</t>
  </si>
  <si>
    <t>Flaming Tower</t>
  </si>
  <si>
    <t xml:space="preserve">[272] </t>
  </si>
  <si>
    <t xml:space="preserve">Sundhaven II               </t>
  </si>
  <si>
    <t>Fun theme, nice sized, connected to Flaming Tower</t>
  </si>
  <si>
    <t>Mercy</t>
  </si>
  <si>
    <t xml:space="preserve">Kerofk                     </t>
  </si>
  <si>
    <t>Needs work, attachment to Underdark</t>
  </si>
  <si>
    <t>low 20'ish</t>
  </si>
  <si>
    <t>Kerofk II</t>
  </si>
  <si>
    <t xml:space="preserve">[276] </t>
  </si>
  <si>
    <t>Stock zone, low quality.. for now its being used as part of the vampire quest since it has a vampire mob in it :P, linked to kerofk II</t>
  </si>
  <si>
    <t xml:space="preserve">New Sparta II              </t>
  </si>
  <si>
    <t>Naved</t>
  </si>
  <si>
    <t>Sanctus [human?]</t>
  </si>
  <si>
    <t xml:space="preserve">[285] </t>
  </si>
  <si>
    <t xml:space="preserve">Descent to Hell II         </t>
  </si>
  <si>
    <t>Strahd</t>
  </si>
  <si>
    <t>Fire Giants (1067)</t>
  </si>
  <si>
    <t>Connected via portal from 'Fire Giants', primary location for the invasion from frost-giant forces</t>
  </si>
  <si>
    <t>Hometown</t>
  </si>
  <si>
    <t xml:space="preserve">[302] </t>
  </si>
  <si>
    <t xml:space="preserve">Campus II                  </t>
  </si>
  <si>
    <t>Grunwald [barbarians]</t>
  </si>
  <si>
    <t>The Haunted Halls of Eveningstar</t>
  </si>
  <si>
    <t>around 10</t>
  </si>
  <si>
    <t>Matrix of CAW</t>
  </si>
  <si>
    <t>Eveningstar (1054)</t>
  </si>
  <si>
    <t xml:space="preserve">connected to eveningstar village </t>
  </si>
  <si>
    <t xml:space="preserve">[303] </t>
  </si>
  <si>
    <t xml:space="preserve">Campus III                 </t>
  </si>
  <si>
    <t>Haunted Halls of Eveningstar (deeper)</t>
  </si>
  <si>
    <t>Haunted Halls (1177)</t>
  </si>
  <si>
    <t>Hometown (Barbarian)</t>
  </si>
  <si>
    <t>connected to the haunted halls, which is connected to eveningstar village</t>
  </si>
  <si>
    <t>Bloodfist Caverns [half-ogre/ogre]</t>
  </si>
  <si>
    <t>The Way Inn</t>
  </si>
  <si>
    <t>High'ish</t>
  </si>
  <si>
    <t>The Trade Way (1015)</t>
  </si>
  <si>
    <t>inn zone, a few quests, seems solid</t>
  </si>
  <si>
    <t>Marble Pyramid -High Forest - Interior</t>
  </si>
  <si>
    <t>1800 - Marble Pyramid Exterior</t>
  </si>
  <si>
    <t>Ogre / HalfOgre Hometown</t>
  </si>
  <si>
    <t>2nd half of Marble Pyramid zone, looks great, but not quite complete, missing quests</t>
  </si>
  <si>
    <t>Neverwinter - North [city]</t>
  </si>
  <si>
    <t>Corm Orp Caverns</t>
  </si>
  <si>
    <t>low (5isn)</t>
  </si>
  <si>
    <t>1050 - Corm Orp</t>
  </si>
  <si>
    <t>attached to corm orp graveyard, a nice little low level zonelet</t>
  </si>
  <si>
    <t>The Lost Vale</t>
  </si>
  <si>
    <t>25'ish</t>
  </si>
  <si>
    <t>linked to tethyamar trail (1110) via portal</t>
  </si>
  <si>
    <t>Neverwinter - South [city]</t>
  </si>
  <si>
    <t xml:space="preserve">[320] </t>
  </si>
  <si>
    <t>looks like a fun 100 room zone, no hlquests</t>
  </si>
  <si>
    <t xml:space="preserve">Yllythad Sea II            </t>
  </si>
  <si>
    <t xml:space="preserve">[321] </t>
  </si>
  <si>
    <t xml:space="preserve">Yllythad Sea III           </t>
  </si>
  <si>
    <t>Zzsessak Zuhl [yuan ti]</t>
  </si>
  <si>
    <t>xx</t>
  </si>
  <si>
    <t>xxxx</t>
  </si>
  <si>
    <t xml:space="preserve">[556] </t>
  </si>
  <si>
    <t xml:space="preserve">Ultima II                  </t>
  </si>
  <si>
    <t>Yuan-Ti Hometown</t>
  </si>
  <si>
    <t>Casret Parna</t>
  </si>
  <si>
    <t>x-loc</t>
  </si>
  <si>
    <t>Tilverton [city]</t>
  </si>
  <si>
    <t xml:space="preserve">[ 26] </t>
  </si>
  <si>
    <t>y-loc</t>
  </si>
  <si>
    <t xml:space="preserve">High Tower of Magic II     </t>
  </si>
  <si>
    <t>dest x</t>
  </si>
  <si>
    <t>Skylar</t>
  </si>
  <si>
    <t>dest y</t>
  </si>
  <si>
    <t>25, 30</t>
  </si>
  <si>
    <t>Near</t>
  </si>
  <si>
    <t>Goes To</t>
  </si>
  <si>
    <t>stock - Medium quality zone, mobile races/classes need adjusting, near groves and hills</t>
  </si>
  <si>
    <t>The Orphanage</t>
  </si>
  <si>
    <t>8-13</t>
  </si>
  <si>
    <t xml:space="preserve">[ 32] </t>
  </si>
  <si>
    <t xml:space="preserve">&lt;*&gt; Midgen                 </t>
  </si>
  <si>
    <t>Rm VNum</t>
  </si>
  <si>
    <t xml:space="preserve">Ready  </t>
  </si>
  <si>
    <t>Makiel</t>
  </si>
  <si>
    <t>30, 50</t>
  </si>
  <si>
    <t>Ob VNum</t>
  </si>
  <si>
    <t>FLEXIBLE</t>
  </si>
  <si>
    <t>stock - Hometown medium sized, fairly detailed, formerly Midgaard</t>
  </si>
  <si>
    <t>Unfinished?</t>
  </si>
  <si>
    <t xml:space="preserve">[ 23] </t>
  </si>
  <si>
    <t>3.5E Testing</t>
  </si>
  <si>
    <t>---</t>
  </si>
  <si>
    <t>cardinal wizards</t>
  </si>
  <si>
    <t>Bakarus / Owen Stephens</t>
  </si>
  <si>
    <t>1st Loop</t>
  </si>
  <si>
    <t>Incomplete, needs some fine tuning (fixing triggers), has potential, mountainous area</t>
  </si>
  <si>
    <t>18-22</t>
  </si>
  <si>
    <t xml:space="preserve">[ 66] </t>
  </si>
  <si>
    <t xml:space="preserve">Faedon Forest              </t>
  </si>
  <si>
    <t>Gamia Tyrion</t>
  </si>
  <si>
    <t xml:space="preserve">[ 60] </t>
  </si>
  <si>
    <t>Small fun zone</t>
  </si>
  <si>
    <t xml:space="preserve">Haon-Dor, Light Forest     </t>
  </si>
  <si>
    <t>Quifael</t>
  </si>
  <si>
    <t>Hulburg Trail</t>
  </si>
  <si>
    <t>about 16</t>
  </si>
  <si>
    <t xml:space="preserve">[296] </t>
  </si>
  <si>
    <t xml:space="preserve">Froboz Fun Factory         </t>
  </si>
  <si>
    <t>Amanda</t>
  </si>
  <si>
    <t>Tons of content, needs work</t>
  </si>
  <si>
    <t xml:space="preserve">[187] </t>
  </si>
  <si>
    <t xml:space="preserve">Circus                     </t>
  </si>
  <si>
    <t xml:space="preserve">The Neverwinter Wood </t>
  </si>
  <si>
    <t>Wolfgaar Arina</t>
  </si>
  <si>
    <t xml:space="preserve">[ 28] </t>
  </si>
  <si>
    <t xml:space="preserve">Mudschool                  </t>
  </si>
  <si>
    <t>Welcor</t>
  </si>
  <si>
    <t>Needs work, content, tower connection</t>
  </si>
  <si>
    <t>undefined</t>
  </si>
  <si>
    <t>Mount Hotenow</t>
  </si>
  <si>
    <t>Low quality newbie zone, small, no theme (just room descrips with instructions)</t>
  </si>
  <si>
    <t>20-30</t>
  </si>
  <si>
    <t xml:space="preserve">[234] </t>
  </si>
  <si>
    <t>quest - quest line info in zone</t>
  </si>
  <si>
    <t xml:space="preserve">Newbie School              </t>
  </si>
  <si>
    <t>Ferret</t>
  </si>
  <si>
    <t>key - have the keys in the zone been checked?</t>
  </si>
  <si>
    <t xml:space="preserve">[ 37] </t>
  </si>
  <si>
    <t xml:space="preserve">Capital Sewer System       </t>
  </si>
  <si>
    <t>Shadowdale [city]</t>
  </si>
  <si>
    <t>gear - has the gear in the zone been revised?</t>
  </si>
  <si>
    <t xml:space="preserve">[186] </t>
  </si>
  <si>
    <t xml:space="preserve">Newbie Zone                </t>
  </si>
  <si>
    <t>Maynard</t>
  </si>
  <si>
    <t>Kobold Caverns</t>
  </si>
  <si>
    <t xml:space="preserve">[100] </t>
  </si>
  <si>
    <t xml:space="preserve">Northern Highway           </t>
  </si>
  <si>
    <t>Ashenport</t>
  </si>
  <si>
    <t>Rumble</t>
  </si>
  <si>
    <t>Evereska</t>
  </si>
  <si>
    <t xml:space="preserve">[169] </t>
  </si>
  <si>
    <t xml:space="preserve">Gibberling Caves           </t>
  </si>
  <si>
    <t>Tanto</t>
  </si>
  <si>
    <t>Noob zone, needs work</t>
  </si>
  <si>
    <t>HILLS / MOUNTAIN</t>
  </si>
  <si>
    <t>Mithril Hall</t>
  </si>
  <si>
    <t>stock - decent small zone, hilly mountain connected to a road</t>
  </si>
  <si>
    <t>Newbie Graveyard</t>
  </si>
  <si>
    <t xml:space="preserve">[306] </t>
  </si>
  <si>
    <t xml:space="preserve">Newbie Tree                </t>
  </si>
  <si>
    <t>Corm Orp</t>
  </si>
  <si>
    <t xml:space="preserve">[200] </t>
  </si>
  <si>
    <t>Decent stock zone</t>
  </si>
  <si>
    <t xml:space="preserve">Western Highway            </t>
  </si>
  <si>
    <t>Pesh</t>
  </si>
  <si>
    <t>Thethyr Bandit Castle</t>
  </si>
  <si>
    <t xml:space="preserve">[263] </t>
  </si>
  <si>
    <t xml:space="preserve">Farmlands                  </t>
  </si>
  <si>
    <t>Tugrahk Gol</t>
  </si>
  <si>
    <t>Old Name</t>
  </si>
  <si>
    <t>Hardbuckler</t>
  </si>
  <si>
    <t xml:space="preserve">[  5] </t>
  </si>
  <si>
    <t>English's Test zone *Portal via Cave</t>
  </si>
  <si>
    <t xml:space="preserve">Newbie Farm                </t>
  </si>
  <si>
    <t>New Name</t>
  </si>
  <si>
    <t>Unknown, Taure</t>
  </si>
  <si>
    <t>Simple Zone, any terrain (pref plains), touched up by Taure</t>
  </si>
  <si>
    <t xml:space="preserve">[281] </t>
  </si>
  <si>
    <t>Faerun</t>
  </si>
  <si>
    <t xml:space="preserve">Forest of Khanjar          </t>
  </si>
  <si>
    <t>Testing a single room zonelet - likely will be changed / removed</t>
  </si>
  <si>
    <t>Luminari</t>
  </si>
  <si>
    <t>Methem</t>
  </si>
  <si>
    <t>Dwarven Mines</t>
  </si>
  <si>
    <t>Menzoberranzan</t>
  </si>
  <si>
    <t>8-14</t>
  </si>
  <si>
    <t>Teyrvaselleh</t>
  </si>
  <si>
    <t xml:space="preserve">[115] </t>
  </si>
  <si>
    <t xml:space="preserve">Monestary Omega            </t>
  </si>
  <si>
    <t>end loop</t>
  </si>
  <si>
    <t>Polar</t>
  </si>
  <si>
    <t>Thugrak Gol</t>
  </si>
  <si>
    <t>Shaard</t>
  </si>
  <si>
    <t>Hallowberry</t>
  </si>
  <si>
    <t>Placed near MH Dwarven Hometown</t>
  </si>
  <si>
    <t xml:space="preserve">[274] </t>
  </si>
  <si>
    <t xml:space="preserve">Portablo (Smurfville)      </t>
  </si>
  <si>
    <t>Gracklstugh</t>
  </si>
  <si>
    <t>Lizard Lair</t>
  </si>
  <si>
    <t>Al'Kath</t>
  </si>
  <si>
    <t>2nd loop</t>
  </si>
  <si>
    <t>Unknown, Treyorn</t>
  </si>
  <si>
    <t>Fizzletwist</t>
  </si>
  <si>
    <t xml:space="preserve">[242] </t>
  </si>
  <si>
    <t>Tallenshaft</t>
  </si>
  <si>
    <t xml:space="preserve">New Southern Midgen        </t>
  </si>
  <si>
    <t>Tilverton</t>
  </si>
  <si>
    <t>Sanctus</t>
  </si>
  <si>
    <t>Evereskea</t>
  </si>
  <si>
    <t>Needs some spiffying, has a quest, originally a stock zone (Pathos revising)</t>
  </si>
  <si>
    <t>Carrowath</t>
  </si>
  <si>
    <t>Waterdeep</t>
  </si>
  <si>
    <t>Amiskal's Keep</t>
  </si>
  <si>
    <t xml:space="preserve">[ 46] </t>
  </si>
  <si>
    <t xml:space="preserve">Ant Hill                   </t>
  </si>
  <si>
    <t>Garrison</t>
  </si>
  <si>
    <t>Bloodfist</t>
  </si>
  <si>
    <t>Neverwinter</t>
  </si>
  <si>
    <t xml:space="preserve">[305] </t>
  </si>
  <si>
    <t xml:space="preserve">Chessboard                 </t>
  </si>
  <si>
    <t>Aten</t>
  </si>
  <si>
    <t>Small Lizard man zone</t>
  </si>
  <si>
    <t>Settlestone [city]</t>
  </si>
  <si>
    <t>Auril</t>
  </si>
  <si>
    <t xml:space="preserve">[275] </t>
  </si>
  <si>
    <t>Tosereth</t>
  </si>
  <si>
    <t>, goddess of winter</t>
  </si>
  <si>
    <t>Small town, no quests, mountainous area, looks good, dwarf (was connected to 1091 The Rauvin Ride)</t>
  </si>
  <si>
    <t>Jade Forest</t>
  </si>
  <si>
    <t>Azuth</t>
  </si>
  <si>
    <t xml:space="preserve">New Sparta                 </t>
  </si>
  <si>
    <t>Simple zone, Forest, Touched up by Taure</t>
  </si>
  <si>
    <t xml:space="preserve">[237] </t>
  </si>
  <si>
    <t xml:space="preserve">Dwarven Trade Route        </t>
  </si>
  <si>
    <t>Minotaur Outpost</t>
  </si>
  <si>
    <t>Zhentil</t>
  </si>
  <si>
    <t>, god of wizards</t>
  </si>
  <si>
    <t>Bane</t>
  </si>
  <si>
    <t>The Prisoner</t>
  </si>
  <si>
    <t>, god of tyranny</t>
  </si>
  <si>
    <t xml:space="preserve">[ 62] </t>
  </si>
  <si>
    <t xml:space="preserve">Orc Enclave                </t>
  </si>
  <si>
    <t>Beshaba</t>
  </si>
  <si>
    <t>Fea</t>
  </si>
  <si>
    <t>CAW</t>
  </si>
  <si>
    <t>, goddess of misfortune</t>
  </si>
  <si>
    <t>Prelim check looks pretty good, need to do the usual door/key/portal/etc audit</t>
  </si>
  <si>
    <t>Bhaal</t>
  </si>
  <si>
    <t>Iluai</t>
  </si>
  <si>
    <t>Misty Forest</t>
  </si>
  <si>
    <t>, god of murder</t>
  </si>
  <si>
    <t xml:space="preserve">[271] </t>
  </si>
  <si>
    <t xml:space="preserve">Sundhaven                  </t>
  </si>
  <si>
    <t>Chauntea</t>
  </si>
  <si>
    <t>Grunwald</t>
  </si>
  <si>
    <t>Jisko</t>
  </si>
  <si>
    <t>, goddess of agriculture</t>
  </si>
  <si>
    <t>Cyric</t>
  </si>
  <si>
    <t>Vatro</t>
  </si>
  <si>
    <t xml:space="preserve">[ 90] </t>
  </si>
  <si>
    <t>Zzsessak Zuhl</t>
  </si>
  <si>
    <t xml:space="preserve">Oasis                      </t>
  </si>
  <si>
    <t>, god of lies</t>
  </si>
  <si>
    <t>Looks OK</t>
  </si>
  <si>
    <t>Deneir</t>
  </si>
  <si>
    <t>Dragon Cult Fortress</t>
  </si>
  <si>
    <t>, god of writing</t>
  </si>
  <si>
    <t>Eldath</t>
  </si>
  <si>
    <t>Aeleaka</t>
  </si>
  <si>
    <t xml:space="preserve">[101] </t>
  </si>
  <si>
    <t>, goddess of peace</t>
  </si>
  <si>
    <t xml:space="preserve">Untitled (South Road)      </t>
  </si>
  <si>
    <t>Unknown, Zusuk</t>
  </si>
  <si>
    <t>Gond</t>
  </si>
  <si>
    <t>Oretaxis</t>
  </si>
  <si>
    <t>, god of craft</t>
  </si>
  <si>
    <t>Helm</t>
  </si>
  <si>
    <t xml:space="preserve">[ 35] </t>
  </si>
  <si>
    <t>Ellios</t>
  </si>
  <si>
    <t xml:space="preserve">Miden'Nir                  </t>
  </si>
  <si>
    <t>, god of protection</t>
  </si>
  <si>
    <t>Ilmater</t>
  </si>
  <si>
    <t>Copper II</t>
  </si>
  <si>
    <t>vnums: 138700 - 138799, Fortress zone, mountains environment, high level content, original connection to 1190 Yellow Snake pass, not a large zone, looks solid</t>
  </si>
  <si>
    <t>Er'sh</t>
  </si>
  <si>
    <t>, god of endurance</t>
  </si>
  <si>
    <t>33, 65, 150</t>
  </si>
  <si>
    <t>Temple of Twisted Flesh</t>
  </si>
  <si>
    <t>Kelemvor</t>
  </si>
  <si>
    <t>Low quality forest zone, mobiles races/classes need correcting</t>
  </si>
  <si>
    <t>, god of the dead</t>
  </si>
  <si>
    <t xml:space="preserve">[345] </t>
  </si>
  <si>
    <t xml:space="preserve">Asylum for the Insane      </t>
  </si>
  <si>
    <t>Taix</t>
  </si>
  <si>
    <t>, god of birth and renewal</t>
  </si>
  <si>
    <t>Duluth</t>
  </si>
  <si>
    <t>Leira</t>
  </si>
  <si>
    <t>, goddess of illusion</t>
  </si>
  <si>
    <t>Temple, PLAINS area, end game content, vnums: 145100 - 145199, Prelim check looks pretty good, need to check doors, portals, etc.  Connected to:  Iron Road 1253</t>
  </si>
  <si>
    <t>Lliira</t>
  </si>
  <si>
    <t xml:space="preserve">[ 40] </t>
  </si>
  <si>
    <t xml:space="preserve">Mines of Moria             </t>
  </si>
  <si>
    <t>, goddess of joy</t>
  </si>
  <si>
    <t>Lloth</t>
  </si>
  <si>
    <t>Dragonspear Castle</t>
  </si>
  <si>
    <t>goddess of Spiders, evil, darkness, chaos, assassins, drow</t>
  </si>
  <si>
    <t>Loviatar</t>
  </si>
  <si>
    <t>, goddess of pain</t>
  </si>
  <si>
    <t>Malar</t>
  </si>
  <si>
    <t>Eru</t>
  </si>
  <si>
    <t xml:space="preserve">[  7] </t>
  </si>
  <si>
    <t>, god of the hunt</t>
  </si>
  <si>
    <t xml:space="preserve">Camelot                    </t>
  </si>
  <si>
    <t>Mask</t>
  </si>
  <si>
    <t>Connected to PLAINS area, old link is 1015 The Trade Way, Castle zone, end game content, very large zone, looks very fun</t>
  </si>
  <si>
    <t>Lok Parna</t>
  </si>
  <si>
    <t>, god of thieves</t>
  </si>
  <si>
    <t>Aumvor's Castle</t>
  </si>
  <si>
    <t>16, 17</t>
  </si>
  <si>
    <t>Mielikki</t>
  </si>
  <si>
    <t>Inappropriate theme (medieval camelot), low quality, stock zone, near forest, mobiles incorrect race/class</t>
  </si>
  <si>
    <t>, goddess of forests</t>
  </si>
  <si>
    <t xml:space="preserve">[125] </t>
  </si>
  <si>
    <t xml:space="preserve">Hannah                     </t>
  </si>
  <si>
    <t>Milil</t>
  </si>
  <si>
    <t>Ranna</t>
  </si>
  <si>
    <t>Rhunter</t>
  </si>
  <si>
    <t>, god of poetry and song</t>
  </si>
  <si>
    <t>Myrkul</t>
  </si>
  <si>
    <t xml:space="preserve">[301] </t>
  </si>
  <si>
    <t>, god of death</t>
  </si>
  <si>
    <t>BARREN / MOOR environment, old link to 1018 Dawn Pass &amp; Lonely Moor, Castle Zone, respctably sized zone, looks fun and detailed, end game content</t>
  </si>
  <si>
    <t xml:space="preserve">Campus                     </t>
  </si>
  <si>
    <t>Mystra</t>
  </si>
  <si>
    <t>South Wood</t>
  </si>
  <si>
    <t xml:space="preserve">end loop </t>
  </si>
  <si>
    <t>, goddess of magic</t>
  </si>
  <si>
    <t>Oghma</t>
  </si>
  <si>
    <t xml:space="preserve">[ 70] </t>
  </si>
  <si>
    <t xml:space="preserve">Sewer, First Level         </t>
  </si>
  <si>
    <t>, god of knowledge</t>
  </si>
  <si>
    <t>Savras</t>
  </si>
  <si>
    <t>, god of divination and fate</t>
  </si>
  <si>
    <t>FOREST zone, vnums: 114800- 114999, Looks decent, connecting zone (1062, 1018, 1020, 1402) with solid content, mostly end-game stuff</t>
  </si>
  <si>
    <t>Selûne</t>
  </si>
  <si>
    <t xml:space="preserve">[240] </t>
  </si>
  <si>
    <t xml:space="preserve">Dun Maura                  </t>
  </si>
  <si>
    <t>, goddess of the moon</t>
  </si>
  <si>
    <t>Skull Gorge</t>
  </si>
  <si>
    <t>The Swiftpaths - Ancient artifacts constructed before recorded history, the swiftpaths are portals located at various places across Lumi(n)a. Their placement is not completely understood but it has been discovered that there are increased concentrations of crystalline arcanite at Swiftpath sites. It is unknown exactly how the swiftpaths function, only that they allow near instantaneous travel between remote locations. Not all of the portals are currently active and it is unknown how many of the Swiftpaths remain. It is rumored that the swiftpaths allow travel through the otherworld or perhaps using the magical fields of Lumi(n)a itself but the truth is unknown.</t>
  </si>
  <si>
    <t>Shar</t>
  </si>
  <si>
    <t>, goddess of darkness and loss</t>
  </si>
  <si>
    <t>Silvanus</t>
  </si>
  <si>
    <t xml:space="preserve">[ 78] </t>
  </si>
  <si>
    <t xml:space="preserve">Gideon                     </t>
  </si>
  <si>
    <t>, god of wild nature</t>
  </si>
  <si>
    <t>Arina</t>
  </si>
  <si>
    <t>Sune</t>
  </si>
  <si>
    <t>, goddess of love and beauty</t>
  </si>
  <si>
    <t>2nd connection -141, 613; Vnums: 102400 - 102499, GORGE / MOUNTAIN environment, old connection to zones 5531 Pelleor's Prairie and 1189 Yellow Snake Pass, looks very well developed with tons of HLQ quests, mostly end-game content</t>
  </si>
  <si>
    <t xml:space="preserve">[ 44] </t>
  </si>
  <si>
    <t xml:space="preserve">Orc Camp                   </t>
  </si>
  <si>
    <t>Talona</t>
  </si>
  <si>
    <t>Elykra</t>
  </si>
  <si>
    <t>Welcor, Tooter</t>
  </si>
  <si>
    <t>, goddess of disease and poison</t>
  </si>
  <si>
    <t>Talos</t>
  </si>
  <si>
    <t>Batai</t>
  </si>
  <si>
    <t xml:space="preserve">[243] </t>
  </si>
  <si>
    <t>, god of storms</t>
  </si>
  <si>
    <t xml:space="preserve">Snowy Valley               </t>
  </si>
  <si>
    <t>Tempus</t>
  </si>
  <si>
    <t>Crazyman</t>
  </si>
  <si>
    <t>Varied</t>
  </si>
  <si>
    <t>, god of war</t>
  </si>
  <si>
    <t>Torm</t>
  </si>
  <si>
    <t xml:space="preserve">[ 86] </t>
  </si>
  <si>
    <t>, god of courage and self-sacrifice</t>
  </si>
  <si>
    <t xml:space="preserve">Duke Kalithorn's Keep      </t>
  </si>
  <si>
    <t>Tymora</t>
  </si>
  <si>
    <t>Destiny</t>
  </si>
  <si>
    <t>, goddess of good fortune</t>
  </si>
  <si>
    <t>Tyr</t>
  </si>
  <si>
    <t>, god of justice</t>
  </si>
  <si>
    <t xml:space="preserve">[106] </t>
  </si>
  <si>
    <t xml:space="preserve">Elcardo                    </t>
  </si>
  <si>
    <t>-359, -139</t>
  </si>
  <si>
    <t>Daiko</t>
  </si>
  <si>
    <t>Umberlee</t>
  </si>
  <si>
    <t>Orolro</t>
  </si>
  <si>
    <t>, goddess of the sea</t>
  </si>
  <si>
    <t>Waukeen</t>
  </si>
  <si>
    <t xml:space="preserve">[ 41] </t>
  </si>
  <si>
    <t>, goddess of trade</t>
  </si>
  <si>
    <t xml:space="preserve">[ 96] </t>
  </si>
  <si>
    <t xml:space="preserve">Domiae                     </t>
  </si>
  <si>
    <t>Kas</t>
  </si>
  <si>
    <t>Looks good, very large amount of rooms, objects &amp; mobiles; connects: high road north, luskan outpost</t>
  </si>
  <si>
    <t xml:space="preserve">[ 72] </t>
  </si>
  <si>
    <t xml:space="preserve">Sewer Maze                 </t>
  </si>
  <si>
    <t xml:space="preserve">[298] </t>
  </si>
  <si>
    <t xml:space="preserve">Castle of Desire           </t>
  </si>
  <si>
    <t>Honeybear</t>
  </si>
  <si>
    <t xml:space="preserve">[ 31] </t>
  </si>
  <si>
    <t xml:space="preserve">&lt;*&gt; Southern Midgen        </t>
  </si>
  <si>
    <t>Town, looks good!  Connected to Ulcaster</t>
  </si>
  <si>
    <t>Mines of Tugrahk Gol</t>
  </si>
  <si>
    <t>30, 74, 79</t>
  </si>
  <si>
    <t>Hometown medium sized, fairly detailed, formerly Midgaard</t>
  </si>
  <si>
    <t xml:space="preserve">[ 39] </t>
  </si>
  <si>
    <t xml:space="preserve">Haven                      </t>
  </si>
  <si>
    <t>Nivan</t>
  </si>
  <si>
    <t xml:space="preserve">[ 50] </t>
  </si>
  <si>
    <t xml:space="preserve">Great Eastern Desert       </t>
  </si>
  <si>
    <t>Zonelet, associated (formally connected to) Tugrakh Gol, High Level Mobs</t>
  </si>
  <si>
    <t>Rorschach</t>
  </si>
  <si>
    <t>// To get the map coords, use the coords found in the wilderness area where the zone connects.</t>
  </si>
  <si>
    <t>Dawn Pass Trail &amp; The Lonely Moor</t>
  </si>
  <si>
    <t xml:space="preserve">[277] </t>
  </si>
  <si>
    <t>Mid-Level</t>
  </si>
  <si>
    <t xml:space="preserve">Shire                      </t>
  </si>
  <si>
    <t>// Same applies to the airship map points below. Map point will be the spot where the airship tower is.</t>
  </si>
  <si>
    <t>Unknown/Detta</t>
  </si>
  <si>
    <t>Solid zone, needs theme adjustment</t>
  </si>
  <si>
    <t>// location name, carriage stop room vnum, cost to travel here, continent name (matched below), zone description, mapp coord x, map coord y</t>
  </si>
  <si>
    <t xml:space="preserve">[289] </t>
  </si>
  <si>
    <t>const char *carriage_locales[][7] = {</t>
  </si>
  <si>
    <t xml:space="preserve">Werith's Wayhouse          </t>
  </si>
  <si>
    <t>{"ardeep forest",                         "144062", "45",   "Continent1", "level 3-12 mobs", "-40", "82"},</t>
  </si>
  <si>
    <t>Builder_5 of CAW</t>
  </si>
  <si>
    <t>linked to: Delimbiyr Vale, Road through Orlbar, Serpent Path, Greycloak Hills Side Path and Aumvor's Castle</t>
  </si>
  <si>
    <t>{"ashenport",                             "103000", "10",   "Continent1", "central city for low to mid levels and main quest line", "-59", "92"},</t>
  </si>
  <si>
    <t>Ogre Lair</t>
  </si>
  <si>
    <t xml:space="preserve">[103] </t>
  </si>
  <si>
    <t xml:space="preserve">Untitled (DBZ World)       </t>
  </si>
  <si>
    <t>{"blindbreak rest",                       "40400",  "105",  "Continent1", "level 10-11 mobs, questline", "-53", "63"},</t>
  </si>
  <si>
    <t>Taylor, Zusuk</t>
  </si>
  <si>
    <t>{"bloodfist caverns",                     "102501", "40",   "Continent8", "level 1-23 mobs", "-66", "-676"},</t>
  </si>
  <si>
    <t>{"corm orp",                              "105001", "40",   "Continent4", "level 1-10 mobs", "167", "-85"},</t>
  </si>
  <si>
    <t xml:space="preserve">[ 38] </t>
  </si>
  <si>
    <t xml:space="preserve">Capital Sewer System II    </t>
  </si>
  <si>
    <t>{"dollhouse",                             "11899",  "65",   "Continent1", "level 5-8 mobs, questline", "169", "171"},</t>
  </si>
  <si>
    <t>Room VNUM</t>
  </si>
  <si>
    <t>{"evereska",                              "120800", "65",   "Continent9", "level 1-4 mobs", "-767", "157"},</t>
  </si>
  <si>
    <t>{"frozen castle",                         "1101",   "65",   "Continent8", "level 25-30 mobs", "-662", "-595"},</t>
  </si>
  <si>
    <t xml:space="preserve">[294] </t>
  </si>
  <si>
    <t xml:space="preserve">Trade Road                 </t>
  </si>
  <si>
    <t>COORDS</t>
  </si>
  <si>
    <t>{"giant darkwood tree",                   "6901",   "70",   "Continent9", "level 15-20 mobs", "-717", "-51"},</t>
  </si>
  <si>
    <t>nice zone, mid-high level with a few end-game level mobs, mountain</t>
  </si>
  <si>
    <t>Builder_5</t>
  </si>
  <si>
    <t>Zhent Graveyard</t>
  </si>
  <si>
    <t>ONDIUS</t>
  </si>
  <si>
    <t>Low lvl</t>
  </si>
  <si>
    <t xml:space="preserve">[287] </t>
  </si>
  <si>
    <t xml:space="preserve">Ofingia / Goblin Town      </t>
  </si>
  <si>
    <t>Pippin</t>
  </si>
  <si>
    <t>KELLUST</t>
  </si>
  <si>
    <t xml:space="preserve">[236] </t>
  </si>
  <si>
    <t>low level zone, associated with zhentil keep</t>
  </si>
  <si>
    <t xml:space="preserve">Aldin                      </t>
  </si>
  <si>
    <t>-63, 89</t>
  </si>
  <si>
    <t>N Kellust Sea Port</t>
  </si>
  <si>
    <t>286, 885</t>
  </si>
  <si>
    <t>NW Ondius Sea Port</t>
  </si>
  <si>
    <t>-25, 198</t>
  </si>
  <si>
    <t xml:space="preserve">[262] </t>
  </si>
  <si>
    <t>NE Kellust Sea Port</t>
  </si>
  <si>
    <t xml:space="preserve">Forest Trails              </t>
  </si>
  <si>
    <t>423, 779</t>
  </si>
  <si>
    <t>City, cool theme, has underhall zone that is connected</t>
  </si>
  <si>
    <t>Dagger Falls</t>
  </si>
  <si>
    <t xml:space="preserve">[313] </t>
  </si>
  <si>
    <t xml:space="preserve">Farmlands of Ofingia       </t>
  </si>
  <si>
    <t>SE Ondius Sea Port</t>
  </si>
  <si>
    <t>107, 39</t>
  </si>
  <si>
    <t>E Kellust Sea Port</t>
  </si>
  <si>
    <t>644, 644</t>
  </si>
  <si>
    <t>-431, -432</t>
  </si>
  <si>
    <t xml:space="preserve">[253] </t>
  </si>
  <si>
    <t>NE Ondius Sea Port</t>
  </si>
  <si>
    <t xml:space="preserve">Windmill                   </t>
  </si>
  <si>
    <t>191, 295</t>
  </si>
  <si>
    <t>SE Kellust Sea Port</t>
  </si>
  <si>
    <t>519, 539</t>
  </si>
  <si>
    <t>SW Kellust Sea Port</t>
  </si>
  <si>
    <t>The Lost City of Thunderholme</t>
  </si>
  <si>
    <t xml:space="preserve">[ 21] </t>
  </si>
  <si>
    <t>371, 431</t>
  </si>
  <si>
    <t xml:space="preserve">Hobbiton                   </t>
  </si>
  <si>
    <t>SELERISH</t>
  </si>
  <si>
    <t>Orme</t>
  </si>
  <si>
    <t>NW Kellust Sea Port</t>
  </si>
  <si>
    <t>161, 789</t>
  </si>
  <si>
    <t>Simple, sparse small zone, any terrain</t>
  </si>
  <si>
    <t>S Selerish Sea Port</t>
  </si>
  <si>
    <t xml:space="preserve">[ 17] </t>
  </si>
  <si>
    <t>Small end-game zone</t>
  </si>
  <si>
    <t xml:space="preserve">Camelot III                </t>
  </si>
  <si>
    <t>363, -295</t>
  </si>
  <si>
    <t>W Kellust Sea Port</t>
  </si>
  <si>
    <t>Forest of Wyrms</t>
  </si>
  <si>
    <t>283, 724</t>
  </si>
  <si>
    <t>E Selerish Sea Port</t>
  </si>
  <si>
    <t>7, 16</t>
  </si>
  <si>
    <t>358, -200</t>
  </si>
  <si>
    <t>Inappropriate theme (medieval camelot), near forest, low quality, stock zone, mobiles incorrect race/class</t>
  </si>
  <si>
    <t xml:space="preserve">[ 16] </t>
  </si>
  <si>
    <t xml:space="preserve">Camelot II                 </t>
  </si>
  <si>
    <t>NW Selerish Sea Port</t>
  </si>
  <si>
    <t>161, -79</t>
  </si>
  <si>
    <t>VAILAND</t>
  </si>
  <si>
    <t>7, 17</t>
  </si>
  <si>
    <t>High Level Grid with some rareloads, linked to Darekoth crypt, formally was connected to: Soubar &amp; Serpent Hills</t>
  </si>
  <si>
    <t xml:space="preserve">[254] </t>
  </si>
  <si>
    <t xml:space="preserve">Mordecai's Village         </t>
  </si>
  <si>
    <t>W Vailand Sea Port</t>
  </si>
  <si>
    <t>-772, 473</t>
  </si>
  <si>
    <t>OORPII</t>
  </si>
  <si>
    <t xml:space="preserve">[235] </t>
  </si>
  <si>
    <t xml:space="preserve">Dwarven Mines              </t>
  </si>
  <si>
    <t>N Vailand Sea Port</t>
  </si>
  <si>
    <t>Unknown</t>
  </si>
  <si>
    <t>-599, 455</t>
  </si>
  <si>
    <t>N Oorpii Sea Port</t>
  </si>
  <si>
    <t xml:space="preserve">[  9] </t>
  </si>
  <si>
    <t>-112, 785</t>
  </si>
  <si>
    <t xml:space="preserve">River Island of Minos      </t>
  </si>
  <si>
    <t>C Vailand Sea Port</t>
  </si>
  <si>
    <t>-467, 204</t>
  </si>
  <si>
    <t>Mahatma</t>
  </si>
  <si>
    <t>Seems Complete, nice sized, connected to temple in the sky, used to be connected to tesh trail.  Fun lore</t>
  </si>
  <si>
    <t>E Oorpii Sea Port</t>
  </si>
  <si>
    <t xml:space="preserve">61, </t>
  </si>
  <si>
    <t>RIVER</t>
  </si>
  <si>
    <t>-105, 510</t>
  </si>
  <si>
    <t>Low quality stock zone, island and river zone, incorrect mobile races/classes</t>
  </si>
  <si>
    <t>S Vailand Sea Port</t>
  </si>
  <si>
    <t>-512, 99</t>
  </si>
  <si>
    <t xml:space="preserve">[304] </t>
  </si>
  <si>
    <t xml:space="preserve">Temple of the Bull         </t>
  </si>
  <si>
    <t>W Oorpii Sea Port</t>
  </si>
  <si>
    <t>-316, 520</t>
  </si>
  <si>
    <t>Ruined Farm (VQL)</t>
  </si>
  <si>
    <t>NW Oorpii Sea Port</t>
  </si>
  <si>
    <t xml:space="preserve">[ 45] </t>
  </si>
  <si>
    <t>-597, 804</t>
  </si>
  <si>
    <t xml:space="preserve">Woodland Monastery         </t>
  </si>
  <si>
    <t>AXTROS</t>
  </si>
  <si>
    <t>Gnoff</t>
  </si>
  <si>
    <t>S Axtros Sea Port</t>
  </si>
  <si>
    <t>VQL</t>
  </si>
  <si>
    <t>606, -719</t>
  </si>
  <si>
    <t xml:space="preserve">[279] </t>
  </si>
  <si>
    <t>Small zonelet, holds the beginning steps and all the autoquests for the vampire race quest line</t>
  </si>
  <si>
    <t xml:space="preserve">Notre Dame                 </t>
  </si>
  <si>
    <t>WEST UBDINA</t>
  </si>
  <si>
    <t>SW Axtros Sea Port</t>
  </si>
  <si>
    <t>Apollo/Detta</t>
  </si>
  <si>
    <t xml:space="preserve">Abandoned Cathedral        </t>
  </si>
  <si>
    <t>591, -524</t>
  </si>
  <si>
    <t>W West Ubdine Sea Port</t>
  </si>
  <si>
    <t>-683, -626</t>
  </si>
  <si>
    <t xml:space="preserve">[ 52] </t>
  </si>
  <si>
    <t>E Axtros Sea Port</t>
  </si>
  <si>
    <t xml:space="preserve">City of Thalos             </t>
  </si>
  <si>
    <t>866, -284</t>
  </si>
  <si>
    <t>NW West Ubdine Sea Port</t>
  </si>
  <si>
    <t>-824, -406</t>
  </si>
  <si>
    <t>Stock zone, has hope... for now its being used as the vampire master for the vampire race quest</t>
  </si>
  <si>
    <t>688, -241</t>
  </si>
  <si>
    <t xml:space="preserve">[295] </t>
  </si>
  <si>
    <t>Inna &amp; Igor's Castle</t>
  </si>
  <si>
    <t xml:space="preserve">Jungle                     </t>
  </si>
  <si>
    <t>N West Ubdine Sea Port</t>
  </si>
  <si>
    <t>Makira</t>
  </si>
  <si>
    <t>-554, -489</t>
  </si>
  <si>
    <t>S West Ubdine Sea Port</t>
  </si>
  <si>
    <t>-566, -677</t>
  </si>
  <si>
    <t xml:space="preserve">[ 57] </t>
  </si>
  <si>
    <t>CARSTON</t>
  </si>
  <si>
    <t xml:space="preserve">Untitled (Zodiac)          </t>
  </si>
  <si>
    <t>Stock zone, low quality.. for now its being used as part of the vampire quest since it has a vampire mob in it :P</t>
  </si>
  <si>
    <t>SE West Ubdine Sea Port</t>
  </si>
  <si>
    <t>Gatia, Zusuk</t>
  </si>
  <si>
    <t>-371, -789</t>
  </si>
  <si>
    <t xml:space="preserve">Kerofk II                  </t>
  </si>
  <si>
    <t>E Cartson Sea Port</t>
  </si>
  <si>
    <t>743, -22</t>
  </si>
  <si>
    <t xml:space="preserve">[107] </t>
  </si>
  <si>
    <t xml:space="preserve">Realms of Iuel             </t>
  </si>
  <si>
    <t>Rumble Santa</t>
  </si>
  <si>
    <t>W Cartson Sea Port</t>
  </si>
  <si>
    <t>575, 75</t>
  </si>
  <si>
    <t>EAST UBDINA</t>
  </si>
  <si>
    <t xml:space="preserve">[ 33] </t>
  </si>
  <si>
    <t>Stock zone, low quality.. for now its being used as part of the vampire quest since it has a vampire mob in it :P, linked to kerofk I</t>
  </si>
  <si>
    <t>Three of Swords (*Internal gear)</t>
  </si>
  <si>
    <t>SW East Ubdine Sea Port</t>
  </si>
  <si>
    <t>Arabel</t>
  </si>
  <si>
    <t>-268, -758</t>
  </si>
  <si>
    <t>HIR</t>
  </si>
  <si>
    <t xml:space="preserve">35, </t>
  </si>
  <si>
    <t>Medium quality filler zone, mobile races/classes need adjusting, plains near mountains, *internal gear</t>
  </si>
  <si>
    <t>S East Ubdine Sea Port</t>
  </si>
  <si>
    <t>-110, -722</t>
  </si>
  <si>
    <t xml:space="preserve">[ 54] </t>
  </si>
  <si>
    <t>SW Hir Sea Port</t>
  </si>
  <si>
    <t xml:space="preserve">New Thalos                 </t>
  </si>
  <si>
    <t>-442, -303</t>
  </si>
  <si>
    <t>Moderately sized city, looks fun</t>
  </si>
  <si>
    <t>E East Ubdine Sea Port</t>
  </si>
  <si>
    <t>73, -603</t>
  </si>
  <si>
    <t>Mercenary Camps</t>
  </si>
  <si>
    <t>NW Hir Sea Port</t>
  </si>
  <si>
    <t>Special</t>
  </si>
  <si>
    <t xml:space="preserve">[300] </t>
  </si>
  <si>
    <t>-507, -123</t>
  </si>
  <si>
    <t xml:space="preserve">Ancalador                  </t>
  </si>
  <si>
    <t>N East Ubdine Sea Port</t>
  </si>
  <si>
    <t>Mercutio of CAW</t>
  </si>
  <si>
    <t>-71, -506</t>
  </si>
  <si>
    <t>NE Hir Sea Port</t>
  </si>
  <si>
    <t>-20, -85</t>
  </si>
  <si>
    <t>{"glass tower",                           "11410",  "65",   "Continent5", "level 20-23 mobs", "641", "87"},</t>
  </si>
  <si>
    <t>E Hir Sea Port</t>
  </si>
  <si>
    <t>This zone is linked to the wilderness here, but also connected to 1) ashenport, 2) zhentil keep, and 3) the duergar hometown...  it serves as our hub for mercenary content for players currently</t>
  </si>
  <si>
    <t>-57, -330</t>
  </si>
  <si>
    <t>Westwood</t>
  </si>
  <si>
    <t>QUECHIAN</t>
  </si>
  <si>
    <t>{"graven hollow",                         "6766",   "70",   "Continent1", "level 7-12 mobs, questline", "5", "67"},</t>
  </si>
  <si>
    <t>E Quechian Sea Port</t>
  </si>
  <si>
    <t>{"grunwald",                              "117400", "70",   "Continent7", "level 1-16 mobs", "-509", "-170"},</t>
  </si>
  <si>
    <t>-651, -4</t>
  </si>
  <si>
    <t>{"hardbuckler",                           "118594", "70",   "Continent5", "level 1-12 mobs", "624", "114"},</t>
  </si>
  <si>
    <t>SW Quechian Sea Port</t>
  </si>
  <si>
    <t xml:space="preserve">[ 61] </t>
  </si>
  <si>
    <t>A forest grid, simple and small...looks complete</t>
  </si>
  <si>
    <t>{"lizard marsh",                          "121200", "70",   "Continent8", "level 10-30 mobs", "-821", "-413"},</t>
  </si>
  <si>
    <t xml:space="preserve">Haon-Dor, Light Forest II  </t>
  </si>
  <si>
    <t>-782, -110</t>
  </si>
  <si>
    <t>Longsaddle</t>
  </si>
  <si>
    <t>{"mere of dead men",                      "126860", "110",  "Continent1", "level 9-30 mobs", "305", "313"},</t>
  </si>
  <si>
    <t>NE Quechian Sea Port</t>
  </si>
  <si>
    <t>-703, 155</t>
  </si>
  <si>
    <t>{"memlin caverns",                        "2701",   "50",   "Continent1", "level 8-20 mobs", "80", "115"},</t>
  </si>
  <si>
    <t xml:space="preserve">[  6] </t>
  </si>
  <si>
    <t xml:space="preserve">Sea of Souls               </t>
  </si>
  <si>
    <t>{"mithril hall",                          "108101", "120",  "Continent2", "level 6-27 mobs", "349", "769"},</t>
  </si>
  <si>
    <t>{"mosaic cave",                           "40600",  "120",  "Continent1", "level 16-22 mobs, questline", "3", "4"},</t>
  </si>
  <si>
    <t>SEA</t>
  </si>
  <si>
    <t>Low quality stock zone, sea and island zone, mobiles incorrect race/class</t>
  </si>
  <si>
    <t>small town</t>
  </si>
  <si>
    <t>{"mosswood village",                      "145387", "10",   "Continent1", "starting area, levels 1-5", "-51", "99"},</t>
  </si>
  <si>
    <t xml:space="preserve">[270] </t>
  </si>
  <si>
    <t xml:space="preserve">Wasteland                  </t>
  </si>
  <si>
    <t>Eveningstar</t>
  </si>
  <si>
    <t>{"neverwinter",                           "122413", "140",  "Continent3", "level 1-24 mobs", "-591", "805"},</t>
  </si>
  <si>
    <t>AsA</t>
  </si>
  <si>
    <t>{"neverwinter catacombs",                 "123200", "140",  "Continent1", "level 16-30 mobs", "60", "54"},</t>
  </si>
  <si>
    <t>{"orc ruins",                             "106200", "30",   "Continent1", "level 9-30 mobs", "210", "233"},</t>
  </si>
  <si>
    <t xml:space="preserve">[ 63] </t>
  </si>
  <si>
    <t xml:space="preserve">Arachnos                   </t>
  </si>
  <si>
    <t>{"orcish fort",                           "148100", "30",   "Continent1", "level 14-16 mobs", "-54", "118"},</t>
  </si>
  <si>
    <t>{"pesh",                                  "125900", "30",   "Continent7", "level 1-19 mobs", "-150", "-180"},</t>
  </si>
  <si>
    <t>small village, attached to two subzones</t>
  </si>
  <si>
    <t>{"quagmire",                              "13240",  "30",   "Continent1", "level 1-30 mobs", "-58", "192"},</t>
  </si>
  <si>
    <t>The Trade Way</t>
  </si>
  <si>
    <t xml:space="preserve">[140] </t>
  </si>
  <si>
    <t xml:space="preserve">Wyvern City                </t>
  </si>
  <si>
    <t>{"rat hills",                             "115500", "70",   "Continent1", "level 3-12 mobs", "-54", "78"},</t>
  </si>
  <si>
    <t>Balme</t>
  </si>
  <si>
    <t>{"reaching woods",                        "127265", "70",   "Continent9", "level 1-9, 16-19, 27 mobs", "-764", "138"},</t>
  </si>
  <si>
    <t>{"ruined keep",                           "101701", "70",   "Continent7", "level 6-18 mobs", "-121", "-99"},</t>
  </si>
  <si>
    <t xml:space="preserve">[150] </t>
  </si>
  <si>
    <t xml:space="preserve">King Welmar's Castle       </t>
  </si>
  <si>
    <t>{"sanctus",                               "140",    "70",   "Continent5", "level 3-20 mobs, major city of eastern continents", "695", "-240"},</t>
  </si>
  <si>
    <t>CircleMUD</t>
  </si>
  <si>
    <t>{"spider swamp",                          "199",    "70",   "Continent1", "level 10-20 mobs", "-44", "128"},</t>
  </si>
  <si>
    <t>road zone attached to a small inn zone</t>
  </si>
  <si>
    <t>{"the depths",                            "9200",   "70",   "Continent5", "level 20-22 mobs", "643", "-10"},</t>
  </si>
  <si>
    <t>Marble Pyramid -High Forest - Ext</t>
  </si>
  <si>
    <t xml:space="preserve">[ 87] </t>
  </si>
  <si>
    <t>{"tugrahk gol",                           "199",    "70",   "Continent7", "level 6-30 mobs", "-54", "-320"},</t>
  </si>
  <si>
    <t xml:space="preserve">Glumgold's Sea             </t>
  </si>
  <si>
    <t>Meyekul Benighted</t>
  </si>
  <si>
    <t>{"wizard training mansion",               "5900",   "10",   "Continent1", "level 3-6 mobs, questline", "-20", "99"},</t>
  </si>
  <si>
    <t>{"zhentil keep",                          "119100", "70",   "Continent8", "level 1-30 mobs", "-563", "-583"},</t>
  </si>
  <si>
    <t xml:space="preserve">[117] </t>
  </si>
  <si>
    <t>{"always the last item",                  "0",      "0",    "Nowhere",    "nothing", "0", "0"}</t>
  </si>
  <si>
    <t xml:space="preserve">Los Torres                 </t>
  </si>
  <si>
    <t>};</t>
  </si>
  <si>
    <t>1st hal of pyramid zone, looks great, seems to be on the edge of completion, but are issues, missing quests</t>
  </si>
  <si>
    <t>Dysprosic</t>
  </si>
  <si>
    <t>Outcast Encampment</t>
  </si>
  <si>
    <t>28+</t>
  </si>
  <si>
    <t xml:space="preserve">[ 20] </t>
  </si>
  <si>
    <t xml:space="preserve">Untitled (Arena)           </t>
  </si>
  <si>
    <t>Rumble, Zusuk</t>
  </si>
  <si>
    <t>Roman theme, low-medium quality, incorrect mobile races/classes, indoors</t>
  </si>
  <si>
    <t>Looks like an experience grid, no items or quests currently</t>
  </si>
  <si>
    <t xml:space="preserve">[ 43] </t>
  </si>
  <si>
    <t xml:space="preserve">Arctic Zone                </t>
  </si>
  <si>
    <t>The Lurkwood</t>
  </si>
  <si>
    <t>Walrus Polar</t>
  </si>
  <si>
    <t>Mid-Low (12)</t>
  </si>
  <si>
    <t>nice mid-sized zone, with some quests and random distro, looks good</t>
  </si>
  <si>
    <t xml:space="preserve">[256] </t>
  </si>
  <si>
    <t>Serene Forest</t>
  </si>
  <si>
    <t xml:space="preserve">Lord's Keep                </t>
  </si>
  <si>
    <t>High Level</t>
  </si>
  <si>
    <t xml:space="preserve">[ 64] </t>
  </si>
  <si>
    <t xml:space="preserve">Rand's Tower               </t>
  </si>
  <si>
    <t>small-mid sized zone, sparse mobs, one item, one quest</t>
  </si>
  <si>
    <t>Daurgothoth's Domain</t>
  </si>
  <si>
    <t xml:space="preserve">[ 51] </t>
  </si>
  <si>
    <t xml:space="preserve">Drow City                  </t>
  </si>
  <si>
    <t xml:space="preserve">[255] </t>
  </si>
  <si>
    <t xml:space="preserve">Shipwreck                  </t>
  </si>
  <si>
    <t>Bog/Forest area, looks good, end-game, small, has important mobs/quests</t>
  </si>
  <si>
    <t>Scorched Forest</t>
  </si>
  <si>
    <t>Mid 20's</t>
  </si>
  <si>
    <t xml:space="preserve">[ 75] </t>
  </si>
  <si>
    <t xml:space="preserve">Zamba                      </t>
  </si>
  <si>
    <t>Shimmer</t>
  </si>
  <si>
    <t>Very small zonelet, 10 mobs, 9 items, 3 hlquests</t>
  </si>
  <si>
    <t xml:space="preserve">[120] </t>
  </si>
  <si>
    <t xml:space="preserve">Rome                       </t>
  </si>
  <si>
    <t>The Abbey of Lost Tears</t>
  </si>
  <si>
    <t>Late Teens</t>
  </si>
  <si>
    <t>Onivel</t>
  </si>
  <si>
    <t xml:space="preserve">[248] </t>
  </si>
  <si>
    <t xml:space="preserve">Elven Woods                </t>
  </si>
  <si>
    <t>Gbetz</t>
  </si>
  <si>
    <t>Smallish zonelet, no hlquests, looks OK</t>
  </si>
  <si>
    <t xml:space="preserve">[ 25] </t>
  </si>
  <si>
    <t xml:space="preserve">High Tower of Magic        </t>
  </si>
  <si>
    <t>Yellow Snake Pass</t>
  </si>
  <si>
    <t>Mid Teens</t>
  </si>
  <si>
    <t>40, 26</t>
  </si>
  <si>
    <t>Medium quality zone, mobile races/classes need adjusting, near groves and hills</t>
  </si>
  <si>
    <t xml:space="preserve">[ 22] </t>
  </si>
  <si>
    <t xml:space="preserve">Tower of the Undead        </t>
  </si>
  <si>
    <t xml:space="preserve">16, </t>
  </si>
  <si>
    <t xml:space="preserve">mostly road, some small outposts, includes some hlquests, mobs, items.. </t>
  </si>
  <si>
    <t>Low-medium quality zone, mobile races/classes incorrect, near hills</t>
  </si>
  <si>
    <t xml:space="preserve">[233] </t>
  </si>
  <si>
    <t xml:space="preserve">Dragon Plains              </t>
  </si>
  <si>
    <t>Battle of Bones</t>
  </si>
  <si>
    <t>LowMid Teens</t>
  </si>
  <si>
    <t xml:space="preserve">[325] </t>
  </si>
  <si>
    <t xml:space="preserve">Revelry                    </t>
  </si>
  <si>
    <t xml:space="preserve">[ 53] </t>
  </si>
  <si>
    <t xml:space="preserve">Great Pyramid              </t>
  </si>
  <si>
    <t>Site of major battle, one spell quest, a few mobs/orbs</t>
  </si>
  <si>
    <t>Andersen</t>
  </si>
  <si>
    <t>Serpent Path</t>
  </si>
  <si>
    <t>10'ish</t>
  </si>
  <si>
    <t xml:space="preserve">[ 76] </t>
  </si>
  <si>
    <t xml:space="preserve">Grandmother's House        </t>
  </si>
  <si>
    <t>Andalar</t>
  </si>
  <si>
    <t xml:space="preserve">[220] </t>
  </si>
  <si>
    <t>few orc themed mobs tied to shaman quest, same with objects, same with a single quest... not much else here</t>
  </si>
  <si>
    <t xml:space="preserve">(Enchanted Kitchen)        </t>
  </si>
  <si>
    <t>Exa, Zusuk</t>
  </si>
  <si>
    <t>Bugbear Caverns</t>
  </si>
  <si>
    <t>Low (7ish)</t>
  </si>
  <si>
    <t xml:space="preserve">[324] </t>
  </si>
  <si>
    <t xml:space="preserve">Army Encampment            </t>
  </si>
  <si>
    <t>very small zonelet, 5 mobs, 1 object, no quests.. low level</t>
  </si>
  <si>
    <t xml:space="preserve">[239] </t>
  </si>
  <si>
    <t xml:space="preserve">South Pass                 </t>
  </si>
  <si>
    <t>Stag Forest</t>
  </si>
  <si>
    <t>Crysanthia</t>
  </si>
  <si>
    <t>Low (3ish)</t>
  </si>
  <si>
    <t>smallish, very low level xp grid, no quests, 2 items</t>
  </si>
  <si>
    <t>Snake Pit</t>
  </si>
  <si>
    <t>mid size, high level, snake/yuan ti/naga zone</t>
  </si>
  <si>
    <t>Tethyamar Trail</t>
  </si>
  <si>
    <t xml:space="preserve">[555] </t>
  </si>
  <si>
    <t xml:space="preserve">Ultima                     </t>
  </si>
  <si>
    <t>road zone, 10 hlquests, 8 mobs, 5 items, portal to hidden vale zone</t>
  </si>
  <si>
    <t xml:space="preserve">[269] </t>
  </si>
  <si>
    <t xml:space="preserve">Southern Desert            </t>
  </si>
  <si>
    <t xml:space="preserve">Pelleor's Prairie          </t>
  </si>
  <si>
    <t>Freak</t>
  </si>
  <si>
    <t xml:space="preserve">[ 79] </t>
  </si>
  <si>
    <t xml:space="preserve">Redferne's Residence       </t>
  </si>
  <si>
    <t>DikuMUD</t>
  </si>
  <si>
    <t xml:space="preserve">[ 65] </t>
  </si>
  <si>
    <t xml:space="preserve">Dwarven Kingdom            </t>
  </si>
  <si>
    <t>Depeche</t>
  </si>
  <si>
    <t>praire, animals, wemic, some human chars.. 2 hlquests, needs some more work, nice amount of mobs/items, looks solid</t>
  </si>
  <si>
    <t xml:space="preserve">[ 42] </t>
  </si>
  <si>
    <t xml:space="preserve">Dragon Chasm               </t>
  </si>
  <si>
    <t>Guldane</t>
  </si>
  <si>
    <t xml:space="preserve">[251] </t>
  </si>
  <si>
    <t xml:space="preserve">Ape Village                </t>
  </si>
  <si>
    <t>--Just a Place Holder for Zusuk--</t>
  </si>
  <si>
    <t xml:space="preserve">[310] </t>
  </si>
  <si>
    <t xml:space="preserve">Graye Area                 </t>
  </si>
  <si>
    <t xml:space="preserve">[314] </t>
  </si>
  <si>
    <t xml:space="preserve">X'Raantra's Altar          </t>
  </si>
  <si>
    <t xml:space="preserve">[245] </t>
  </si>
  <si>
    <t xml:space="preserve">The Nether                 </t>
  </si>
  <si>
    <t xml:space="preserve">[258] </t>
  </si>
  <si>
    <t xml:space="preserve">Light Forest               </t>
  </si>
  <si>
    <t xml:space="preserve">[201] </t>
  </si>
  <si>
    <t xml:space="preserve">Sapphire Islands           </t>
  </si>
  <si>
    <t>Elixias</t>
  </si>
  <si>
    <t xml:space="preserve">[ 30] </t>
  </si>
  <si>
    <t xml:space="preserve">&lt;*&gt; Northern Midgen        </t>
  </si>
  <si>
    <t>31, 32, 36, 70, 234, 187, 186, W</t>
  </si>
  <si>
    <t xml:space="preserve">[104] </t>
  </si>
  <si>
    <t xml:space="preserve">Land of Orchan             </t>
  </si>
  <si>
    <t>Taylor</t>
  </si>
  <si>
    <t xml:space="preserve">[318] </t>
  </si>
  <si>
    <t xml:space="preserve">Dock Area                  </t>
  </si>
  <si>
    <t xml:space="preserve">[291] </t>
  </si>
  <si>
    <t xml:space="preserve">Black Forest               </t>
  </si>
  <si>
    <t>Silverangel</t>
  </si>
  <si>
    <t>Convert Map</t>
  </si>
  <si>
    <t xml:space="preserve">[326] </t>
  </si>
  <si>
    <t xml:space="preserve">Army Perimeter             </t>
  </si>
  <si>
    <t xml:space="preserve">[257] </t>
  </si>
  <si>
    <t xml:space="preserve">Jareth Main City           </t>
  </si>
  <si>
    <t xml:space="preserve">[247] </t>
  </si>
  <si>
    <t xml:space="preserve">Graveyard                  </t>
  </si>
  <si>
    <t>Rasta</t>
  </si>
  <si>
    <t xml:space="preserve">[317] </t>
  </si>
  <si>
    <t xml:space="preserve">Wharf                      </t>
  </si>
  <si>
    <t xml:space="preserve">[232] </t>
  </si>
  <si>
    <t xml:space="preserve">Terringham                 </t>
  </si>
  <si>
    <t>Convert Co-ords</t>
  </si>
  <si>
    <t xml:space="preserve">[ 36] </t>
  </si>
  <si>
    <t xml:space="preserve">Chessboard of Midgen       </t>
  </si>
  <si>
    <t>Exxon</t>
  </si>
  <si>
    <t xml:space="preserve">[260] </t>
  </si>
  <si>
    <t xml:space="preserve">Grasslands                 </t>
  </si>
  <si>
    <t>-833, 472</t>
  </si>
  <si>
    <t xml:space="preserve">[267] </t>
  </si>
  <si>
    <t xml:space="preserve">Vice Island                </t>
  </si>
  <si>
    <t xml:space="preserve">[278] </t>
  </si>
  <si>
    <t xml:space="preserve">Oceania                    </t>
  </si>
  <si>
    <t xml:space="preserve">[307] </t>
  </si>
  <si>
    <t xml:space="preserve">Castle                     </t>
  </si>
  <si>
    <t xml:space="preserve">[286] </t>
  </si>
  <si>
    <t xml:space="preserve">Descent to Hell            </t>
  </si>
  <si>
    <t xml:space="preserve">[315] </t>
  </si>
  <si>
    <t xml:space="preserve">McGintey Business District </t>
  </si>
  <si>
    <t>&lt;--- Count of Zones Attached to Wilderness</t>
  </si>
  <si>
    <t xml:space="preserve">[238] </t>
  </si>
  <si>
    <t xml:space="preserve">Crystal Castle             </t>
  </si>
  <si>
    <t>Polar Higgins</t>
  </si>
  <si>
    <t xml:space="preserve">[283] </t>
  </si>
  <si>
    <t xml:space="preserve">Haunted House              </t>
  </si>
  <si>
    <t>Matt</t>
  </si>
  <si>
    <t xml:space="preserve">[322] </t>
  </si>
  <si>
    <t xml:space="preserve">McGintey Bay               </t>
  </si>
  <si>
    <t xml:space="preserve">[ 15] </t>
  </si>
  <si>
    <t xml:space="preserve">Straight Path              </t>
  </si>
  <si>
    <t>Steppin</t>
  </si>
  <si>
    <t xml:space="preserve">56, </t>
  </si>
  <si>
    <t>Low quality stock zone, near rocky mountainous area and river, incorrect mobile races/classes</t>
  </si>
  <si>
    <t xml:space="preserve">[323] </t>
  </si>
  <si>
    <t xml:space="preserve">Caverns of the Pale Man    </t>
  </si>
  <si>
    <t xml:space="preserve">[130] </t>
  </si>
  <si>
    <t xml:space="preserve">Mist Maze                  </t>
  </si>
  <si>
    <t>random</t>
  </si>
  <si>
    <t>&lt;--- Count of Zones Attached to WORLD</t>
  </si>
  <si>
    <t xml:space="preserve">[265] </t>
  </si>
  <si>
    <t xml:space="preserve">Beach &amp; Lighthouse         </t>
  </si>
  <si>
    <t xml:space="preserve">[241] </t>
  </si>
  <si>
    <t xml:space="preserve">(Starship Enterprise)      </t>
  </si>
  <si>
    <t>Crazyman Heiach Zusuk</t>
  </si>
  <si>
    <t xml:space="preserve">[311] </t>
  </si>
  <si>
    <t xml:space="preserve">The Dragon's Teeth         </t>
  </si>
  <si>
    <t xml:space="preserve">[252] </t>
  </si>
  <si>
    <t xml:space="preserve">Castle of the Vampyre      </t>
  </si>
  <si>
    <t xml:space="preserve">[312] </t>
  </si>
  <si>
    <t xml:space="preserve">Leper Island               </t>
  </si>
  <si>
    <t xml:space="preserve">[309] </t>
  </si>
  <si>
    <t xml:space="preserve">Keep of Baron Westlawn     </t>
  </si>
  <si>
    <t xml:space="preserve">[319] </t>
  </si>
  <si>
    <t xml:space="preserve">Yllythad Sea               </t>
  </si>
  <si>
    <t xml:space="preserve">[273] </t>
  </si>
  <si>
    <t xml:space="preserve">(Space Station Alpha)      </t>
  </si>
  <si>
    <t>Magnus, Zusuk</t>
  </si>
  <si>
    <t xml:space="preserve">[259] </t>
  </si>
  <si>
    <t xml:space="preserve">Haunted Mansion            </t>
  </si>
  <si>
    <t xml:space="preserve">[266] </t>
  </si>
  <si>
    <t xml:space="preserve">Realm of Lord Ankou        </t>
  </si>
  <si>
    <t xml:space="preserve">[316] </t>
  </si>
  <si>
    <t>OPEN THE WORLDMAP WITH PAINT or GIMP</t>
  </si>
  <si>
    <t xml:space="preserve">McGintey Guild Area        </t>
  </si>
  <si>
    <t xml:space="preserve">[280] </t>
  </si>
  <si>
    <t xml:space="preserve">(Living Motherboard)       </t>
  </si>
  <si>
    <t>Kinesthesia, Zusuk</t>
  </si>
  <si>
    <t>Map:</t>
  </si>
  <si>
    <t>https://luminarimud.com/new-revised-worldmap-eat-your-heart-out/</t>
  </si>
  <si>
    <t xml:space="preserve">[250] </t>
  </si>
  <si>
    <t xml:space="preserve">DragonSpyre                </t>
  </si>
  <si>
    <t xml:space="preserve">[308] </t>
  </si>
  <si>
    <t xml:space="preserve">Baron Cailveh              </t>
  </si>
  <si>
    <t xml:space="preserve">[244] </t>
  </si>
  <si>
    <t xml:space="preserve">Cooland Prison             </t>
  </si>
  <si>
    <t xml:space="preserve">[249] </t>
  </si>
  <si>
    <t xml:space="preserve">Untitled (Jedi Clan House) </t>
  </si>
  <si>
    <t>Threepwood, Zusuk</t>
  </si>
  <si>
    <t xml:space="preserve">[284] </t>
  </si>
  <si>
    <t xml:space="preserve">Ghenna                     </t>
  </si>
  <si>
    <t>Nosferatu(Wolves Revamping)</t>
  </si>
  <si>
    <t>stock - classic zone, love to see it fixed up</t>
  </si>
  <si>
    <t xml:space="preserve">[288] </t>
  </si>
  <si>
    <t xml:space="preserve">Galaxy                     </t>
  </si>
  <si>
    <t>Doctor Parna</t>
  </si>
  <si>
    <t xml:space="preserve">[ 18] </t>
  </si>
  <si>
    <t xml:space="preserve">War Torn Wasteland         </t>
  </si>
  <si>
    <t>BEACH</t>
  </si>
  <si>
    <t>stock - Low, medium quality..  Mobile races/classes/theme need major adjusting; popular xp grid</t>
  </si>
  <si>
    <t xml:space="preserve">[282] </t>
  </si>
  <si>
    <t xml:space="preserve">Infernal                   </t>
  </si>
  <si>
    <t>Bakarus, Raf,Blizzard</t>
  </si>
  <si>
    <t xml:space="preserve">[264] </t>
  </si>
  <si>
    <t xml:space="preserve">Banshide                   </t>
  </si>
  <si>
    <t>KEY</t>
  </si>
  <si>
    <t>*A portal was placed in wilderness to reach the zone at coords</t>
  </si>
  <si>
    <r>
      <rPr>
        <rFont val="Arial"/>
        <color rgb="FFFF00FF"/>
        <sz val="10.0"/>
      </rPr>
      <t>magenta</t>
    </r>
    <r>
      <rPr>
        <rFont val="Arial"/>
        <sz val="10.0"/>
      </rPr>
      <t xml:space="preserve"> - zone is definitely incomplete OR empty road/connecting zone, </t>
    </r>
    <r>
      <rPr>
        <rFont val="Arial"/>
        <color rgb="FFFFFF00"/>
        <sz val="10.0"/>
      </rPr>
      <t>yellow</t>
    </r>
    <r>
      <rPr>
        <rFont val="Arial"/>
        <sz val="10.0"/>
      </rPr>
      <t xml:space="preserve"> - zone has not been auditted yet, </t>
    </r>
    <r>
      <rPr>
        <rFont val="Arial"/>
        <color rgb="FFCCCCCC"/>
        <sz val="10.0"/>
      </rPr>
      <t>grey</t>
    </r>
    <r>
      <rPr>
        <rFont val="Arial"/>
        <sz val="10.0"/>
      </rPr>
      <t xml:space="preserve"> - zone has been auditted (see notes)</t>
    </r>
  </si>
  <si>
    <t>grep -rl matchstring somedir/ | xargs sed -i 's/string1/string2/g'</t>
  </si>
  <si>
    <t>grep Ardeep * | less</t>
  </si>
  <si>
    <t>Total non-stock zones unattached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</si>
</sst>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2">
    <font>
      <sz val="10.0"/>
      <color rgb="FF000000"/>
      <name val="Arial"/>
    </font>
    <font>
      <b/>
      <sz val="10.0"/>
      <name val="Arial"/>
    </font>
    <font>
      <sz val="7.0"/>
      <name val="Verdana"/>
    </font>
    <font>
      <b/>
      <sz val="12.0"/>
      <color rgb="FF434343"/>
      <name val="Arial"/>
    </font>
    <font>
      <sz val="10.0"/>
      <name val="Arial"/>
    </font>
    <font>
      <b/>
      <sz val="12.0"/>
      <name val="Arial"/>
    </font>
    <font>
      <b/>
      <sz val="12.0"/>
      <color rgb="FF000000"/>
      <name val="Arial"/>
    </font>
    <font>
      <i/>
      <sz val="10.0"/>
      <color rgb="FF000000"/>
      <name val="Arial"/>
    </font>
    <font/>
    <font>
      <sz val="9.0"/>
      <color rgb="FF000000"/>
      <name val="Helvetica"/>
    </font>
    <font>
      <color rgb="FF000000"/>
      <name val="Roboto"/>
    </font>
    <font>
      <u/>
      <sz val="10.0"/>
      <color rgb="FF0000FF"/>
      <name val="Arial"/>
    </font>
    <font>
      <b/>
      <sz val="12.0"/>
    </font>
    <font>
      <sz val="12.0"/>
    </font>
    <font>
      <u/>
      <sz val="10.0"/>
      <color rgb="FF0000FF"/>
      <name val="Arial"/>
    </font>
    <font>
      <color rgb="FF000000"/>
      <name val="Arial"/>
    </font>
    <font>
      <u/>
      <sz val="10.0"/>
      <color rgb="FF0000FF"/>
      <name val="Arial"/>
    </font>
    <font>
      <b/>
      <sz val="14.0"/>
      <name val="Arial"/>
    </font>
    <font>
      <name val="Arial"/>
    </font>
    <font>
      <b/>
    </font>
    <font>
      <b/>
      <sz val="9.0"/>
      <name val="Roboto Mono"/>
    </font>
    <font>
      <sz val="9.0"/>
      <name val="Roboto Mono"/>
    </font>
    <font>
      <sz val="9.0"/>
      <color rgb="FF000000"/>
      <name val="Roboto Mono"/>
    </font>
    <font>
      <b/>
      <sz val="11.0"/>
      <color rgb="FF000000"/>
      <name val="Josefin Sans"/>
    </font>
    <font>
      <sz val="14.0"/>
      <name val="Arial"/>
    </font>
    <font>
      <sz val="14.0"/>
      <color rgb="FF000000"/>
      <name val="Arial"/>
    </font>
    <font>
      <b/>
      <i/>
      <u/>
      <sz val="10.0"/>
      <name val="Arial"/>
    </font>
    <font>
      <b/>
      <i/>
      <u/>
      <sz val="10.0"/>
      <name val="Arial"/>
    </font>
    <font>
      <b/>
      <i/>
      <u/>
      <sz val="10.0"/>
      <name val="Arial"/>
    </font>
    <font>
      <b/>
      <i/>
      <u/>
      <sz val="10.0"/>
      <name val="Arial"/>
    </font>
    <font>
      <b/>
      <u/>
      <sz val="14.0"/>
      <color rgb="FF0000FF"/>
    </font>
    <font>
      <b/>
      <sz val="14.0"/>
    </font>
  </fonts>
  <fills count="18">
    <fill>
      <patternFill patternType="none"/>
    </fill>
    <fill>
      <patternFill patternType="lightGray"/>
    </fill>
    <fill>
      <patternFill patternType="solid">
        <fgColor rgb="FFCCCCCC"/>
        <bgColor rgb="FFCCCCCC"/>
      </patternFill>
    </fill>
    <fill>
      <patternFill patternType="solid">
        <fgColor rgb="FFFFFFFF"/>
        <bgColor rgb="FFFFFFFF"/>
      </patternFill>
    </fill>
    <fill>
      <patternFill patternType="solid">
        <fgColor rgb="FF000000"/>
        <bgColor rgb="FF000000"/>
      </patternFill>
    </fill>
    <fill>
      <patternFill patternType="solid">
        <fgColor rgb="FFFFFF00"/>
        <bgColor rgb="FFFFFF00"/>
      </patternFill>
    </fill>
    <fill>
      <patternFill patternType="solid">
        <fgColor rgb="FFEFEFEF"/>
        <bgColor rgb="FFEFEFEF"/>
      </patternFill>
    </fill>
    <fill>
      <patternFill patternType="solid">
        <fgColor rgb="FFF3F3F3"/>
        <bgColor rgb="FFF3F3F3"/>
      </patternFill>
    </fill>
    <fill>
      <patternFill patternType="solid">
        <fgColor rgb="FFF8F9FA"/>
        <bgColor rgb="FFF8F9FA"/>
      </patternFill>
    </fill>
    <fill>
      <patternFill patternType="solid">
        <fgColor rgb="FFFFE599"/>
        <bgColor rgb="FFFFE599"/>
      </patternFill>
    </fill>
    <fill>
      <patternFill patternType="solid">
        <fgColor rgb="FF00FFFF"/>
        <bgColor rgb="FF00FFFF"/>
      </patternFill>
    </fill>
    <fill>
      <patternFill patternType="solid">
        <fgColor rgb="FFFF00FF"/>
        <bgColor rgb="FFFF00FF"/>
      </patternFill>
    </fill>
    <fill>
      <patternFill patternType="solid">
        <fgColor rgb="FFB7B7B7"/>
        <bgColor rgb="FFB7B7B7"/>
      </patternFill>
    </fill>
    <fill>
      <patternFill patternType="solid">
        <fgColor rgb="FFF6B26B"/>
        <bgColor rgb="FFF6B26B"/>
      </patternFill>
    </fill>
    <fill>
      <patternFill patternType="solid">
        <fgColor rgb="FFA4C2F4"/>
        <bgColor rgb="FFA4C2F4"/>
      </patternFill>
    </fill>
    <fill>
      <patternFill patternType="solid">
        <fgColor rgb="FF6D9EEB"/>
        <bgColor rgb="FF6D9EEB"/>
      </patternFill>
    </fill>
    <fill>
      <patternFill patternType="solid">
        <fgColor rgb="FF00FF00"/>
        <bgColor rgb="FF00FF00"/>
      </patternFill>
    </fill>
    <fill>
      <patternFill patternType="solid">
        <fgColor rgb="FFF1C232"/>
        <bgColor rgb="FFF1C232"/>
      </patternFill>
    </fill>
  </fills>
  <borders count="6">
    <border/>
    <border>
      <left style="thin">
        <color rgb="FF000000"/>
      </left>
      <right style="thin">
        <color rgb="FF000000"/>
      </right>
      <top style="thin">
        <color rgb="FF000000"/>
      </top>
      <bottom style="thin">
        <color rgb="FF000000"/>
      </bottom>
    </border>
    <border>
      <left/>
      <right/>
      <top/>
      <bottom/>
    </border>
    <border>
      <left/>
      <top/>
      <bottom/>
    </border>
    <border>
      <top/>
      <bottom/>
    </border>
    <border>
      <right/>
      <top/>
      <bottom/>
    </border>
  </borders>
  <cellStyleXfs count="1">
    <xf borderId="0" fillId="0" fontId="0" numFmtId="0" applyAlignment="1" applyFont="1"/>
  </cellStyleXfs>
  <cellXfs count="213">
    <xf borderId="0" fillId="0" fontId="0" numFmtId="0" xfId="0" applyAlignment="1" applyFont="1">
      <alignment readingOrder="0" shrinkToFit="0" vertical="bottom" wrapText="0"/>
    </xf>
    <xf borderId="0" fillId="0" fontId="1" numFmtId="0" xfId="0" applyAlignment="1" applyFont="1">
      <alignment horizontal="center" readingOrder="0" shrinkToFit="0" wrapText="0"/>
    </xf>
    <xf borderId="0" fillId="0" fontId="1" numFmtId="0" xfId="0" applyAlignment="1" applyFont="1">
      <alignment horizontal="left" shrinkToFit="0" wrapText="0"/>
    </xf>
    <xf borderId="0" fillId="0" fontId="1" numFmtId="1" xfId="0" applyAlignment="1" applyFont="1" applyNumberFormat="1">
      <alignment horizontal="left" readingOrder="0" shrinkToFit="0" wrapText="0"/>
    </xf>
    <xf borderId="0" fillId="0" fontId="1" numFmtId="0" xfId="0" applyAlignment="1" applyFont="1">
      <alignment horizontal="left" readingOrder="0" shrinkToFit="0" wrapText="0"/>
    </xf>
    <xf borderId="0" fillId="2" fontId="2" numFmtId="0" xfId="0" applyAlignment="1" applyFill="1" applyFont="1">
      <alignment horizontal="center" readingOrder="0" shrinkToFit="0" wrapText="0"/>
    </xf>
    <xf borderId="1" fillId="3" fontId="3" numFmtId="0" xfId="0" applyAlignment="1" applyBorder="1" applyFill="1" applyFont="1">
      <alignment readingOrder="0" shrinkToFit="0" wrapText="0"/>
    </xf>
    <xf borderId="2" fillId="2" fontId="2" numFmtId="0" xfId="0" applyAlignment="1" applyBorder="1" applyFont="1">
      <alignment horizontal="center" shrinkToFit="0" wrapText="0"/>
    </xf>
    <xf borderId="1" fillId="3" fontId="3" numFmtId="0" xfId="0" applyAlignment="1" applyBorder="1" applyFont="1">
      <alignment horizontal="center" readingOrder="0" shrinkToFit="0" wrapText="0"/>
    </xf>
    <xf borderId="2" fillId="2" fontId="2" numFmtId="0" xfId="0" applyAlignment="1" applyBorder="1" applyFont="1">
      <alignment horizontal="left" shrinkToFit="0" wrapText="0"/>
    </xf>
    <xf borderId="0" fillId="2" fontId="2" numFmtId="1" xfId="0" applyAlignment="1" applyFont="1" applyNumberFormat="1">
      <alignment horizontal="left" shrinkToFit="0" wrapText="0"/>
    </xf>
    <xf borderId="1" fillId="3" fontId="3" numFmtId="0" xfId="0" applyAlignment="1" applyBorder="1" applyFont="1">
      <alignment horizontal="center" shrinkToFit="0" wrapText="0"/>
    </xf>
    <xf borderId="0" fillId="2" fontId="2" numFmtId="0" xfId="0" applyAlignment="1" applyFont="1">
      <alignment horizontal="left" shrinkToFit="0" wrapText="0"/>
    </xf>
    <xf borderId="1" fillId="3" fontId="3" numFmtId="1" xfId="0" applyAlignment="1" applyBorder="1" applyFont="1" applyNumberFormat="1">
      <alignment horizontal="center" shrinkToFit="0" wrapText="0"/>
    </xf>
    <xf borderId="2" fillId="2" fontId="4" numFmtId="0" xfId="0" applyAlignment="1" applyBorder="1" applyFont="1">
      <alignment horizontal="left" shrinkToFit="0" wrapText="0"/>
    </xf>
    <xf borderId="0" fillId="2" fontId="2" numFmtId="0" xfId="0" applyAlignment="1" applyFont="1">
      <alignment horizontal="center" shrinkToFit="0" wrapText="0"/>
    </xf>
    <xf borderId="1" fillId="3" fontId="3" numFmtId="1" xfId="0" applyAlignment="1" applyBorder="1" applyFont="1" applyNumberFormat="1">
      <alignment horizontal="center" readingOrder="0" shrinkToFit="0" wrapText="0"/>
    </xf>
    <xf borderId="0" fillId="2" fontId="4" numFmtId="0" xfId="0" applyAlignment="1" applyFont="1">
      <alignment horizontal="left" shrinkToFit="0" wrapText="0"/>
    </xf>
    <xf borderId="0" fillId="2" fontId="2" numFmtId="0" xfId="0" applyAlignment="1" applyFont="1">
      <alignment horizontal="left" readingOrder="0" shrinkToFit="0" wrapText="0"/>
    </xf>
    <xf borderId="1" fillId="4" fontId="3" numFmtId="0" xfId="0" applyAlignment="1" applyBorder="1" applyFill="1" applyFont="1">
      <alignment readingOrder="0" shrinkToFit="0" wrapText="0"/>
    </xf>
    <xf borderId="2" fillId="2" fontId="2" numFmtId="0" xfId="0" applyAlignment="1" applyBorder="1" applyFont="1">
      <alignment horizontal="left" readingOrder="0" shrinkToFit="0" wrapText="0"/>
    </xf>
    <xf borderId="1" fillId="3" fontId="5" numFmtId="0" xfId="0" applyAlignment="1" applyBorder="1" applyFont="1">
      <alignment readingOrder="0" shrinkToFit="0" wrapText="0"/>
    </xf>
    <xf borderId="1" fillId="3" fontId="5" numFmtId="0" xfId="0" applyAlignment="1" applyBorder="1" applyFont="1">
      <alignment horizontal="center" readingOrder="0" shrinkToFit="0" wrapText="0"/>
    </xf>
    <xf borderId="0" fillId="5" fontId="1" numFmtId="0" xfId="0" applyAlignment="1" applyFill="1" applyFont="1">
      <alignment readingOrder="0"/>
    </xf>
    <xf borderId="1" fillId="3" fontId="5" numFmtId="0" xfId="0" applyAlignment="1" applyBorder="1" applyFont="1">
      <alignment shrinkToFit="0" wrapText="0"/>
    </xf>
    <xf borderId="0" fillId="5" fontId="1" numFmtId="0" xfId="0" applyAlignment="1" applyFont="1">
      <alignment horizontal="center" readingOrder="0"/>
    </xf>
    <xf borderId="1" fillId="3" fontId="5" numFmtId="0" xfId="0" applyAlignment="1" applyBorder="1" applyFont="1">
      <alignment horizontal="center" shrinkToFit="0" wrapText="0"/>
    </xf>
    <xf borderId="1" fillId="3" fontId="5" numFmtId="1" xfId="0" applyAlignment="1" applyBorder="1" applyFont="1" applyNumberFormat="1">
      <alignment horizontal="center" shrinkToFit="0" wrapText="0"/>
    </xf>
    <xf borderId="1" fillId="3" fontId="5" numFmtId="0" xfId="0" applyAlignment="1" applyBorder="1" applyFont="1">
      <alignment horizontal="center" shrinkToFit="0" wrapText="0"/>
    </xf>
    <xf borderId="0" fillId="5" fontId="1" numFmtId="0" xfId="0" applyAlignment="1" applyFont="1">
      <alignment horizontal="left" readingOrder="0"/>
    </xf>
    <xf borderId="1" fillId="3" fontId="6" numFmtId="1" xfId="0" applyAlignment="1" applyBorder="1" applyFont="1" applyNumberFormat="1">
      <alignment horizontal="center" shrinkToFit="0" wrapText="0"/>
    </xf>
    <xf borderId="0" fillId="5" fontId="1" numFmtId="0" xfId="0" applyFont="1"/>
    <xf borderId="1" fillId="3" fontId="5" numFmtId="0" xfId="0" applyAlignment="1" applyBorder="1" applyFont="1">
      <alignment readingOrder="0" shrinkToFit="0" wrapText="0"/>
    </xf>
    <xf borderId="1" fillId="3" fontId="5" numFmtId="0" xfId="0" applyAlignment="1" applyBorder="1" applyFont="1">
      <alignment horizontal="center" readingOrder="0" shrinkToFit="0" wrapText="0"/>
    </xf>
    <xf borderId="1" fillId="3" fontId="5" numFmtId="0" xfId="0" applyAlignment="1" applyBorder="1" applyFont="1">
      <alignment shrinkToFit="0" wrapText="0"/>
    </xf>
    <xf borderId="1" fillId="4" fontId="5" numFmtId="0" xfId="0" applyAlignment="1" applyBorder="1" applyFont="1">
      <alignment shrinkToFit="0" wrapText="0"/>
    </xf>
    <xf borderId="1" fillId="6" fontId="7" numFmtId="0" xfId="0" applyAlignment="1" applyBorder="1" applyFill="1" applyFont="1">
      <alignment shrinkToFit="0" wrapText="0"/>
    </xf>
    <xf borderId="0" fillId="7" fontId="4" numFmtId="0" xfId="0" applyAlignment="1" applyFill="1" applyFont="1">
      <alignment readingOrder="0"/>
    </xf>
    <xf borderId="0" fillId="0" fontId="8" numFmtId="0" xfId="0" applyAlignment="1" applyFont="1">
      <alignment readingOrder="0"/>
    </xf>
    <xf borderId="1" fillId="6" fontId="7" numFmtId="0" xfId="0" applyAlignment="1" applyBorder="1" applyFont="1">
      <alignment horizontal="center" shrinkToFit="0" wrapText="0"/>
    </xf>
    <xf borderId="0" fillId="7" fontId="4" numFmtId="0" xfId="0" applyFont="1"/>
    <xf borderId="0" fillId="8" fontId="9" numFmtId="0" xfId="0" applyAlignment="1" applyFill="1" applyFont="1">
      <alignment horizontal="left" readingOrder="0"/>
    </xf>
    <xf borderId="1" fillId="6" fontId="0" numFmtId="0" xfId="0" applyAlignment="1" applyBorder="1" applyFont="1">
      <alignment horizontal="center" shrinkToFit="0" wrapText="0"/>
    </xf>
    <xf borderId="0" fillId="7" fontId="4" numFmtId="0" xfId="0" applyAlignment="1" applyFont="1">
      <alignment horizontal="center" readingOrder="0"/>
    </xf>
    <xf borderId="0" fillId="3" fontId="10" numFmtId="0" xfId="0" applyAlignment="1" applyFont="1">
      <alignment readingOrder="0"/>
    </xf>
    <xf borderId="1" fillId="6" fontId="7" numFmtId="1" xfId="0" applyAlignment="1" applyBorder="1" applyFont="1" applyNumberFormat="1">
      <alignment horizontal="center" shrinkToFit="0" wrapText="0"/>
    </xf>
    <xf borderId="1" fillId="6" fontId="0" numFmtId="0" xfId="0" applyAlignment="1" applyBorder="1" applyFont="1">
      <alignment shrinkToFit="0" wrapText="0"/>
    </xf>
    <xf borderId="1" fillId="4" fontId="0" numFmtId="0" xfId="0" applyAlignment="1" applyBorder="1" applyFont="1">
      <alignment shrinkToFit="0" wrapText="0"/>
    </xf>
    <xf borderId="1" fillId="0" fontId="4" numFmtId="0" xfId="0" applyAlignment="1" applyBorder="1" applyFont="1">
      <alignment readingOrder="0" shrinkToFit="0" wrapText="0"/>
    </xf>
    <xf borderId="1" fillId="0" fontId="4" numFmtId="0" xfId="0" applyAlignment="1" applyBorder="1" applyFont="1">
      <alignment horizontal="center" readingOrder="0" shrinkToFit="0" wrapText="0"/>
    </xf>
    <xf borderId="1" fillId="0" fontId="4" numFmtId="0" xfId="0" applyAlignment="1" applyBorder="1" applyFont="1">
      <alignment shrinkToFit="0" wrapText="0"/>
    </xf>
    <xf borderId="1" fillId="0" fontId="4" numFmtId="1" xfId="0" applyAlignment="1" applyBorder="1" applyFont="1" applyNumberFormat="1">
      <alignment horizontal="center" shrinkToFit="0" wrapText="0"/>
    </xf>
    <xf borderId="1" fillId="7" fontId="4" numFmtId="0" xfId="0" applyAlignment="1" applyBorder="1" applyFont="1">
      <alignment horizontal="center" shrinkToFit="0" wrapText="0"/>
    </xf>
    <xf borderId="0" fillId="7" fontId="11" numFmtId="0" xfId="0" applyAlignment="1" applyFont="1">
      <alignment readingOrder="0"/>
    </xf>
    <xf borderId="1" fillId="9" fontId="0" numFmtId="1" xfId="0" applyAlignment="1" applyBorder="1" applyFill="1" applyFont="1" applyNumberFormat="1">
      <alignment horizontal="center" shrinkToFit="0" wrapText="0"/>
    </xf>
    <xf borderId="1" fillId="3" fontId="4" numFmtId="0" xfId="0" applyAlignment="1" applyBorder="1" applyFont="1">
      <alignment shrinkToFit="0" wrapText="0"/>
    </xf>
    <xf borderId="1" fillId="0" fontId="4" numFmtId="0" xfId="0" applyAlignment="1" applyBorder="1" applyFont="1">
      <alignment horizontal="center" readingOrder="0" shrinkToFit="0" wrapText="0"/>
    </xf>
    <xf borderId="1" fillId="4" fontId="4" numFmtId="0" xfId="0" applyAlignment="1" applyBorder="1" applyFont="1">
      <alignment shrinkToFit="0" wrapText="0"/>
    </xf>
    <xf borderId="1" fillId="7" fontId="4" numFmtId="16" xfId="0" applyAlignment="1" applyBorder="1" applyFont="1" applyNumberFormat="1">
      <alignment horizontal="center" shrinkToFit="0" wrapText="0"/>
    </xf>
    <xf borderId="0" fillId="0" fontId="8" numFmtId="0" xfId="0" applyAlignment="1" applyFont="1">
      <alignment horizontal="left" readingOrder="0"/>
    </xf>
    <xf borderId="0" fillId="0" fontId="8" numFmtId="0" xfId="0" applyAlignment="1" applyFont="1">
      <alignment readingOrder="0" shrinkToFit="0" wrapText="1"/>
    </xf>
    <xf borderId="1" fillId="0" fontId="4" numFmtId="0" xfId="0" applyAlignment="1" applyBorder="1" applyFont="1">
      <alignment horizontal="center" shrinkToFit="0" wrapText="0"/>
    </xf>
    <xf borderId="1" fillId="0" fontId="4" numFmtId="0" xfId="0" applyAlignment="1" applyBorder="1" applyFont="1">
      <alignment readingOrder="0" shrinkToFit="0" wrapText="0"/>
    </xf>
    <xf borderId="1" fillId="4" fontId="4" numFmtId="0" xfId="0" applyAlignment="1" applyBorder="1" applyFont="1">
      <alignment readingOrder="0" shrinkToFit="0" wrapText="0"/>
    </xf>
    <xf borderId="0" fillId="0" fontId="4" numFmtId="0" xfId="0" applyAlignment="1" applyFont="1">
      <alignment readingOrder="0"/>
    </xf>
    <xf borderId="0" fillId="0" fontId="8" numFmtId="0" xfId="0" applyAlignment="1" applyFont="1">
      <alignment horizontal="left"/>
    </xf>
    <xf borderId="1" fillId="0" fontId="4" numFmtId="1" xfId="0" applyAlignment="1" applyBorder="1" applyFont="1" applyNumberFormat="1">
      <alignment horizontal="center" readingOrder="0" shrinkToFit="0" wrapText="0"/>
    </xf>
    <xf borderId="0" fillId="3" fontId="0" numFmtId="0" xfId="0" applyAlignment="1" applyFont="1">
      <alignment readingOrder="0"/>
    </xf>
    <xf borderId="0" fillId="0" fontId="4" numFmtId="0" xfId="0" applyAlignment="1" applyFont="1">
      <alignment horizontal="center" readingOrder="0"/>
    </xf>
    <xf borderId="0" fillId="0" fontId="4" numFmtId="0" xfId="0" applyFont="1"/>
    <xf borderId="1" fillId="0" fontId="4" numFmtId="0" xfId="0" applyAlignment="1" applyBorder="1" applyFont="1">
      <alignment horizontal="center" shrinkToFit="0" wrapText="0"/>
    </xf>
    <xf borderId="0" fillId="10" fontId="12" numFmtId="0" xfId="0" applyFill="1" applyFont="1"/>
    <xf borderId="0" fillId="10" fontId="13" numFmtId="0" xfId="0" applyFont="1"/>
    <xf borderId="0" fillId="10" fontId="13" numFmtId="0" xfId="0" applyAlignment="1" applyFont="1">
      <alignment horizontal="left"/>
    </xf>
    <xf borderId="1" fillId="3" fontId="4" numFmtId="0" xfId="0" applyAlignment="1" applyBorder="1" applyFont="1">
      <alignment shrinkToFit="0" wrapText="0"/>
    </xf>
    <xf borderId="0" fillId="11" fontId="2" numFmtId="0" xfId="0" applyAlignment="1" applyFill="1" applyFont="1">
      <alignment horizontal="center" readingOrder="0" shrinkToFit="0" wrapText="0"/>
    </xf>
    <xf borderId="0" fillId="10" fontId="12" numFmtId="0" xfId="0" applyAlignment="1" applyFont="1">
      <alignment horizontal="right" readingOrder="0"/>
    </xf>
    <xf borderId="1" fillId="7" fontId="4" numFmtId="0" xfId="0" applyAlignment="1" applyBorder="1" applyFont="1">
      <alignment horizontal="center" shrinkToFit="0" wrapText="0"/>
    </xf>
    <xf borderId="2" fillId="11" fontId="2" numFmtId="0" xfId="0" applyAlignment="1" applyBorder="1" applyFont="1">
      <alignment horizontal="center" shrinkToFit="0" wrapText="0"/>
    </xf>
    <xf borderId="2" fillId="11" fontId="2" numFmtId="0" xfId="0" applyAlignment="1" applyBorder="1" applyFont="1">
      <alignment horizontal="left" shrinkToFit="0" wrapText="0"/>
    </xf>
    <xf borderId="0" fillId="11" fontId="2" numFmtId="1" xfId="0" applyAlignment="1" applyFont="1" applyNumberFormat="1">
      <alignment horizontal="left" shrinkToFit="0" wrapText="0"/>
    </xf>
    <xf borderId="1" fillId="4" fontId="4" numFmtId="0" xfId="0" applyAlignment="1" applyBorder="1" applyFont="1">
      <alignment readingOrder="0" shrinkToFit="0" wrapText="0"/>
    </xf>
    <xf borderId="0" fillId="11" fontId="2" numFmtId="0" xfId="0" applyAlignment="1" applyFont="1">
      <alignment horizontal="left" shrinkToFit="0" wrapText="0"/>
    </xf>
    <xf borderId="2" fillId="11" fontId="2" numFmtId="0" xfId="0" applyAlignment="1" applyBorder="1" applyFont="1">
      <alignment horizontal="left" readingOrder="0" shrinkToFit="0" wrapText="0"/>
    </xf>
    <xf borderId="2" fillId="11" fontId="4" numFmtId="0" xfId="0" applyAlignment="1" applyBorder="1" applyFont="1">
      <alignment horizontal="left" shrinkToFit="0" wrapText="0"/>
    </xf>
    <xf borderId="0" fillId="11" fontId="2" numFmtId="0" xfId="0" applyAlignment="1" applyFont="1">
      <alignment horizontal="center" shrinkToFit="0" wrapText="0"/>
    </xf>
    <xf borderId="0" fillId="11" fontId="2" numFmtId="0" xfId="0" applyAlignment="1" applyFont="1">
      <alignment horizontal="left" readingOrder="0" shrinkToFit="0" wrapText="0"/>
    </xf>
    <xf borderId="0" fillId="11" fontId="4" numFmtId="0" xfId="0" applyAlignment="1" applyFont="1">
      <alignment horizontal="left" shrinkToFit="0" wrapText="0"/>
    </xf>
    <xf borderId="0" fillId="0" fontId="14" numFmtId="0" xfId="0" applyAlignment="1" applyFont="1">
      <alignment readingOrder="0"/>
    </xf>
    <xf borderId="0" fillId="11" fontId="2" numFmtId="1" xfId="0" applyAlignment="1" applyFont="1" applyNumberFormat="1">
      <alignment horizontal="left" readingOrder="0" shrinkToFit="0" wrapText="0"/>
    </xf>
    <xf borderId="0" fillId="3" fontId="0" numFmtId="0" xfId="0" applyAlignment="1" applyFont="1">
      <alignment horizontal="center" readingOrder="0"/>
    </xf>
    <xf borderId="0" fillId="8" fontId="0" numFmtId="0" xfId="0" applyAlignment="1" applyFont="1">
      <alignment horizontal="left" readingOrder="0"/>
    </xf>
    <xf borderId="1" fillId="3" fontId="15" numFmtId="0" xfId="0" applyAlignment="1" applyBorder="1" applyFont="1">
      <alignment horizontal="center" readingOrder="0"/>
    </xf>
    <xf borderId="2" fillId="0" fontId="4" numFmtId="0" xfId="0" applyAlignment="1" applyBorder="1" applyFont="1">
      <alignment horizontal="center" readingOrder="0" shrinkToFit="0" wrapText="0"/>
    </xf>
    <xf borderId="0" fillId="0" fontId="4" numFmtId="0" xfId="0" applyAlignment="1" applyFont="1">
      <alignment horizontal="center" readingOrder="0" shrinkToFit="0" wrapText="0"/>
    </xf>
    <xf borderId="0" fillId="0" fontId="4" numFmtId="1" xfId="0" applyAlignment="1" applyFont="1" applyNumberFormat="1">
      <alignment horizontal="left" readingOrder="0" shrinkToFit="0" wrapText="0"/>
    </xf>
    <xf borderId="0" fillId="0" fontId="4" numFmtId="0" xfId="0" applyAlignment="1" applyFont="1">
      <alignment readingOrder="0" shrinkToFit="0" wrapText="0"/>
    </xf>
    <xf borderId="0" fillId="0" fontId="4" numFmtId="0" xfId="0" applyAlignment="1" applyFont="1">
      <alignment horizontal="left" readingOrder="0" shrinkToFit="0" wrapText="0"/>
    </xf>
    <xf borderId="0" fillId="5" fontId="2" numFmtId="0" xfId="0" applyAlignment="1" applyFont="1">
      <alignment horizontal="center" readingOrder="0" shrinkToFit="0" wrapText="0"/>
    </xf>
    <xf borderId="2" fillId="0" fontId="4" numFmtId="0" xfId="0" applyAlignment="1" applyBorder="1" applyFont="1">
      <alignment horizontal="left" readingOrder="0" shrinkToFit="0" wrapText="0"/>
    </xf>
    <xf borderId="2" fillId="5" fontId="2" numFmtId="0" xfId="0" applyAlignment="1" applyBorder="1" applyFont="1">
      <alignment horizontal="center" shrinkToFit="0" wrapText="0"/>
    </xf>
    <xf borderId="0" fillId="0" fontId="8" numFmtId="0" xfId="0" applyAlignment="1" applyFont="1">
      <alignment horizontal="center"/>
    </xf>
    <xf borderId="2" fillId="0" fontId="4" numFmtId="0" xfId="0" applyAlignment="1" applyBorder="1" applyFont="1">
      <alignment horizontal="left" shrinkToFit="0" wrapText="0"/>
    </xf>
    <xf borderId="2" fillId="5" fontId="2" numFmtId="0" xfId="0" applyAlignment="1" applyBorder="1" applyFont="1">
      <alignment horizontal="left" shrinkToFit="0" wrapText="0"/>
    </xf>
    <xf borderId="0" fillId="0" fontId="2" numFmtId="1" xfId="0" applyAlignment="1" applyFont="1" applyNumberFormat="1">
      <alignment horizontal="left" shrinkToFit="0" wrapText="0"/>
    </xf>
    <xf borderId="0" fillId="0" fontId="4" numFmtId="0" xfId="0" applyAlignment="1" applyFont="1">
      <alignment horizontal="left" shrinkToFit="0" wrapText="0"/>
    </xf>
    <xf borderId="0" fillId="0" fontId="2" numFmtId="0" xfId="0" applyAlignment="1" applyFont="1">
      <alignment horizontal="left" shrinkToFit="0" wrapText="0"/>
    </xf>
    <xf borderId="2" fillId="5" fontId="2" numFmtId="0" xfId="0" applyAlignment="1" applyBorder="1" applyFont="1">
      <alignment horizontal="left" readingOrder="0" shrinkToFit="0" wrapText="0"/>
    </xf>
    <xf borderId="2" fillId="5" fontId="4" numFmtId="0" xfId="0" applyAlignment="1" applyBorder="1" applyFont="1">
      <alignment horizontal="left" shrinkToFit="0" wrapText="0"/>
    </xf>
    <xf borderId="0" fillId="0" fontId="4" numFmtId="0" xfId="0" applyAlignment="1" applyFont="1">
      <alignment horizontal="center"/>
    </xf>
    <xf borderId="0" fillId="0" fontId="4" numFmtId="0" xfId="0" applyAlignment="1" applyFont="1">
      <alignment horizontal="left"/>
    </xf>
    <xf borderId="0" fillId="0" fontId="4" numFmtId="164" xfId="0" applyAlignment="1" applyFont="1" applyNumberFormat="1">
      <alignment horizontal="center" readingOrder="0"/>
    </xf>
    <xf borderId="0" fillId="10" fontId="12" numFmtId="0" xfId="0" applyAlignment="1" applyFont="1">
      <alignment horizontal="center"/>
    </xf>
    <xf borderId="0" fillId="10" fontId="12" numFmtId="0" xfId="0" applyAlignment="1" applyFont="1">
      <alignment horizontal="left"/>
    </xf>
    <xf borderId="0" fillId="10" fontId="12" numFmtId="0" xfId="0" applyAlignment="1" applyFont="1">
      <alignment horizontal="center" readingOrder="0"/>
    </xf>
    <xf borderId="1" fillId="0" fontId="4" numFmtId="164" xfId="0" applyAlignment="1" applyBorder="1" applyFont="1" applyNumberFormat="1">
      <alignment horizontal="center" readingOrder="0" shrinkToFit="0" wrapText="0"/>
    </xf>
    <xf borderId="1" fillId="8" fontId="4" numFmtId="0" xfId="0" applyAlignment="1" applyBorder="1" applyFont="1">
      <alignment readingOrder="0" shrinkToFit="0" wrapText="0"/>
    </xf>
    <xf borderId="0" fillId="0" fontId="16" numFmtId="0" xfId="0" applyAlignment="1" applyFont="1">
      <alignment horizontal="center" readingOrder="0"/>
    </xf>
    <xf borderId="0" fillId="5" fontId="12" numFmtId="0" xfId="0" applyAlignment="1" applyFont="1">
      <alignment readingOrder="0"/>
    </xf>
    <xf borderId="0" fillId="5" fontId="12" numFmtId="0" xfId="0" applyAlignment="1" applyFont="1">
      <alignment horizontal="left" readingOrder="0"/>
    </xf>
    <xf borderId="0" fillId="5" fontId="5" numFmtId="0" xfId="0" applyAlignment="1" applyFont="1">
      <alignment vertical="bottom"/>
    </xf>
    <xf borderId="0" fillId="12" fontId="17" numFmtId="0" xfId="0" applyFill="1" applyFont="1"/>
    <xf borderId="0" fillId="7" fontId="8" numFmtId="0" xfId="0" applyFont="1"/>
    <xf borderId="0" fillId="12" fontId="17" numFmtId="0" xfId="0" applyAlignment="1" applyFont="1">
      <alignment readingOrder="0"/>
    </xf>
    <xf borderId="1" fillId="0" fontId="18" numFmtId="0" xfId="0" applyAlignment="1" applyBorder="1" applyFont="1">
      <alignment readingOrder="0"/>
    </xf>
    <xf borderId="0" fillId="12" fontId="17" numFmtId="0" xfId="0" applyAlignment="1" applyFont="1">
      <alignment horizontal="center" readingOrder="0"/>
    </xf>
    <xf borderId="0" fillId="7" fontId="19" numFmtId="0" xfId="0" applyAlignment="1" applyFont="1">
      <alignment horizontal="left" readingOrder="0"/>
    </xf>
    <xf borderId="0" fillId="7" fontId="18" numFmtId="0" xfId="0" applyAlignment="1" applyFont="1">
      <alignment vertical="bottom"/>
    </xf>
    <xf borderId="0" fillId="4" fontId="8" numFmtId="0" xfId="0" applyFont="1"/>
    <xf borderId="1" fillId="0" fontId="4" numFmtId="164" xfId="0" applyAlignment="1" applyBorder="1" applyFont="1" applyNumberFormat="1">
      <alignment horizontal="center" readingOrder="0" shrinkToFit="0" wrapText="0"/>
    </xf>
    <xf borderId="0" fillId="0" fontId="19" numFmtId="0" xfId="0" applyAlignment="1" applyFont="1">
      <alignment horizontal="left"/>
    </xf>
    <xf borderId="0" fillId="0" fontId="18" numFmtId="0" xfId="0" applyAlignment="1" applyFont="1">
      <alignment vertical="bottom"/>
    </xf>
    <xf borderId="0" fillId="0" fontId="20" numFmtId="0" xfId="0" applyAlignment="1" applyFont="1">
      <alignment horizontal="left"/>
    </xf>
    <xf borderId="0" fillId="0" fontId="20" numFmtId="0" xfId="0" applyAlignment="1" applyFont="1">
      <alignment horizontal="left" readingOrder="0"/>
    </xf>
    <xf borderId="0" fillId="0" fontId="21" numFmtId="0" xfId="0" applyAlignment="1" applyFont="1">
      <alignment horizontal="left"/>
    </xf>
    <xf borderId="0" fillId="0" fontId="21" numFmtId="0" xfId="0" applyAlignment="1" applyFont="1">
      <alignment horizontal="left" readingOrder="0"/>
    </xf>
    <xf borderId="0" fillId="3" fontId="22" numFmtId="0" xfId="0" applyAlignment="1" applyFont="1">
      <alignment horizontal="left" readingOrder="0"/>
    </xf>
    <xf borderId="0" fillId="0" fontId="19" numFmtId="0" xfId="0" applyAlignment="1" applyFont="1">
      <alignment horizontal="left" readingOrder="0"/>
    </xf>
    <xf borderId="0" fillId="0" fontId="18" numFmtId="0" xfId="0" applyAlignment="1" applyFont="1">
      <alignment horizontal="right" vertical="bottom"/>
    </xf>
    <xf borderId="0" fillId="0" fontId="22" numFmtId="0" xfId="0" applyAlignment="1" applyFont="1">
      <alignment horizontal="left" readingOrder="0"/>
    </xf>
    <xf borderId="1" fillId="3" fontId="15" numFmtId="0" xfId="0" applyAlignment="1" applyBorder="1" applyFont="1">
      <alignment readingOrder="0"/>
    </xf>
    <xf borderId="0" fillId="13" fontId="22" numFmtId="0" xfId="0" applyAlignment="1" applyFill="1" applyFont="1">
      <alignment horizontal="left" readingOrder="0"/>
    </xf>
    <xf borderId="1" fillId="0" fontId="4" numFmtId="0" xfId="0" applyAlignment="1" applyBorder="1" applyFont="1">
      <alignment horizontal="center" shrinkToFit="0" textRotation="0" wrapText="0"/>
    </xf>
    <xf borderId="1" fillId="4" fontId="4" numFmtId="0" xfId="0" applyAlignment="1" applyBorder="1" applyFont="1">
      <alignment shrinkToFit="0" wrapText="0"/>
    </xf>
    <xf borderId="0" fillId="7" fontId="19" numFmtId="0" xfId="0" applyAlignment="1" applyFont="1">
      <alignment horizontal="left"/>
    </xf>
    <xf borderId="0" fillId="0" fontId="23" numFmtId="0" xfId="0" applyAlignment="1" applyFont="1">
      <alignment horizontal="left" readingOrder="0" shrinkToFit="0" wrapText="1"/>
    </xf>
    <xf borderId="1" fillId="8" fontId="4" numFmtId="0" xfId="0" applyAlignment="1" applyBorder="1" applyFont="1">
      <alignment readingOrder="0" shrinkToFit="0" wrapText="0"/>
    </xf>
    <xf borderId="1" fillId="8" fontId="4" numFmtId="0" xfId="0" applyAlignment="1" applyBorder="1" applyFont="1">
      <alignment horizontal="center" readingOrder="0" shrinkToFit="0" wrapText="0"/>
    </xf>
    <xf borderId="1" fillId="3" fontId="4" numFmtId="0" xfId="0" applyAlignment="1" applyBorder="1" applyFont="1">
      <alignment horizontal="left" readingOrder="0" shrinkToFit="0" wrapText="0"/>
    </xf>
    <xf borderId="1" fillId="8" fontId="4" numFmtId="1" xfId="0" applyAlignment="1" applyBorder="1" applyFont="1" applyNumberFormat="1">
      <alignment horizontal="center" readingOrder="0" shrinkToFit="0" wrapText="0"/>
    </xf>
    <xf borderId="1" fillId="8" fontId="4" numFmtId="0" xfId="0" applyAlignment="1" applyBorder="1" applyFont="1">
      <alignment horizontal="center" shrinkToFit="0" wrapText="0"/>
    </xf>
    <xf borderId="1" fillId="3" fontId="18" numFmtId="0" xfId="0" applyAlignment="1" applyBorder="1" applyFont="1">
      <alignment readingOrder="0"/>
    </xf>
    <xf borderId="1" fillId="8" fontId="4" numFmtId="0" xfId="0" applyAlignment="1" applyBorder="1" applyFont="1">
      <alignment horizontal="left" shrinkToFit="0" wrapText="0"/>
    </xf>
    <xf borderId="1" fillId="8" fontId="4" numFmtId="0" xfId="0" applyAlignment="1" applyBorder="1" applyFont="1">
      <alignment horizontal="center" shrinkToFit="0" wrapText="0"/>
    </xf>
    <xf borderId="1" fillId="8" fontId="4" numFmtId="0" xfId="0" applyAlignment="1" applyBorder="1" applyFont="1">
      <alignment horizontal="center" readingOrder="0" shrinkToFit="0" wrapText="0"/>
    </xf>
    <xf borderId="1" fillId="8" fontId="4" numFmtId="0" xfId="0" applyAlignment="1" applyBorder="1" applyFont="1">
      <alignment shrinkToFit="0" wrapText="0"/>
    </xf>
    <xf borderId="1" fillId="3" fontId="4" numFmtId="0" xfId="0" applyAlignment="1" applyBorder="1" applyFont="1">
      <alignment horizontal="left" shrinkToFit="0" wrapText="0"/>
    </xf>
    <xf borderId="1" fillId="8" fontId="4" numFmtId="1" xfId="0" applyAlignment="1" applyBorder="1" applyFont="1" applyNumberFormat="1">
      <alignment horizontal="center" shrinkToFit="0" wrapText="0"/>
    </xf>
    <xf borderId="0" fillId="0" fontId="19" numFmtId="0" xfId="0" applyAlignment="1" applyFont="1">
      <alignment horizontal="center" readingOrder="0"/>
    </xf>
    <xf borderId="0" fillId="0" fontId="19" numFmtId="0" xfId="0" applyAlignment="1" applyFont="1">
      <alignment readingOrder="0"/>
    </xf>
    <xf borderId="0" fillId="0" fontId="8" numFmtId="0" xfId="0" applyAlignment="1" applyFont="1">
      <alignment horizontal="center" readingOrder="0"/>
    </xf>
    <xf borderId="1" fillId="3" fontId="4" numFmtId="0" xfId="0" applyAlignment="1" applyBorder="1" applyFont="1">
      <alignment readingOrder="0" shrinkToFit="0" wrapText="0"/>
    </xf>
    <xf borderId="1" fillId="3" fontId="10" numFmtId="0" xfId="0" applyAlignment="1" applyBorder="1" applyFont="1">
      <alignment readingOrder="0"/>
    </xf>
    <xf borderId="1" fillId="0" fontId="4" numFmtId="0" xfId="0" applyAlignment="1" applyBorder="1" applyFont="1">
      <alignment horizontal="left" readingOrder="0" shrinkToFit="0" wrapText="0"/>
    </xf>
    <xf borderId="1" fillId="4" fontId="4" numFmtId="0" xfId="0" applyAlignment="1" applyBorder="1" applyFont="1">
      <alignment horizontal="center" readingOrder="0" shrinkToFit="0" wrapText="0"/>
    </xf>
    <xf borderId="1" fillId="14" fontId="5" numFmtId="0" xfId="0" applyAlignment="1" applyBorder="1" applyFill="1" applyFont="1">
      <alignment shrinkToFit="0" wrapText="0"/>
    </xf>
    <xf borderId="1" fillId="14" fontId="5" numFmtId="0" xfId="0" applyAlignment="1" applyBorder="1" applyFont="1">
      <alignment horizontal="center" shrinkToFit="0" wrapText="0"/>
    </xf>
    <xf borderId="1" fillId="14" fontId="5" numFmtId="0" xfId="0" applyAlignment="1" applyBorder="1" applyFont="1">
      <alignment shrinkToFit="0" wrapText="0"/>
    </xf>
    <xf borderId="1" fillId="14" fontId="5" numFmtId="0" xfId="0" applyAlignment="1" applyBorder="1" applyFont="1">
      <alignment horizontal="center" shrinkToFit="0" wrapText="0"/>
    </xf>
    <xf borderId="1" fillId="15" fontId="5" numFmtId="1" xfId="0" applyAlignment="1" applyBorder="1" applyFill="1" applyFont="1" applyNumberFormat="1">
      <alignment horizontal="center" shrinkToFit="0" wrapText="0"/>
    </xf>
    <xf borderId="0" fillId="5" fontId="2" numFmtId="0" xfId="0" applyAlignment="1" applyFont="1">
      <alignment horizontal="center" shrinkToFit="0" wrapText="0"/>
    </xf>
    <xf borderId="0" fillId="5" fontId="2" numFmtId="0" xfId="0" applyAlignment="1" applyFont="1">
      <alignment horizontal="left" shrinkToFit="0" wrapText="0"/>
    </xf>
    <xf borderId="1" fillId="14" fontId="6" numFmtId="1" xfId="0" applyAlignment="1" applyBorder="1" applyFont="1" applyNumberFormat="1">
      <alignment horizontal="center" readingOrder="0" shrinkToFit="0" wrapText="0"/>
    </xf>
    <xf borderId="0" fillId="5" fontId="2" numFmtId="0" xfId="0" applyAlignment="1" applyFont="1">
      <alignment horizontal="left" readingOrder="0" shrinkToFit="0" wrapText="0"/>
    </xf>
    <xf borderId="0" fillId="5" fontId="4" numFmtId="0" xfId="0" applyAlignment="1" applyFont="1">
      <alignment horizontal="left" shrinkToFit="0" wrapText="0"/>
    </xf>
    <xf borderId="1" fillId="15" fontId="6" numFmtId="1" xfId="0" applyAlignment="1" applyBorder="1" applyFont="1" applyNumberFormat="1">
      <alignment horizontal="center" shrinkToFit="0" wrapText="0"/>
    </xf>
    <xf borderId="1" fillId="14" fontId="5" numFmtId="0" xfId="0" applyAlignment="1" applyBorder="1" applyFont="1">
      <alignment readingOrder="0" shrinkToFit="0" wrapText="0"/>
    </xf>
    <xf borderId="1" fillId="16" fontId="17" numFmtId="0" xfId="0" applyAlignment="1" applyBorder="1" applyFill="1" applyFont="1">
      <alignment shrinkToFit="0" wrapText="0"/>
    </xf>
    <xf borderId="1" fillId="0" fontId="17" numFmtId="0" xfId="0" applyAlignment="1" applyBorder="1" applyFont="1">
      <alignment horizontal="center" readingOrder="0" shrinkToFit="0" wrapText="0"/>
    </xf>
    <xf borderId="1" fillId="0" fontId="17" numFmtId="0" xfId="0" applyAlignment="1" applyBorder="1" applyFont="1">
      <alignment readingOrder="0" shrinkToFit="0" wrapText="0"/>
    </xf>
    <xf borderId="1" fillId="0" fontId="24" numFmtId="0" xfId="0" applyAlignment="1" applyBorder="1" applyFont="1">
      <alignment horizontal="center" shrinkToFit="0" wrapText="0"/>
    </xf>
    <xf borderId="1" fillId="7" fontId="24" numFmtId="0" xfId="0" applyAlignment="1" applyBorder="1" applyFont="1">
      <alignment horizontal="center" shrinkToFit="0" wrapText="0"/>
    </xf>
    <xf borderId="1" fillId="9" fontId="25" numFmtId="0" xfId="0" applyAlignment="1" applyBorder="1" applyFont="1">
      <alignment horizontal="center" shrinkToFit="0" wrapText="0"/>
    </xf>
    <xf borderId="1" fillId="17" fontId="17" numFmtId="0" xfId="0" applyAlignment="1" applyBorder="1" applyFill="1" applyFont="1">
      <alignment shrinkToFit="0" wrapText="0"/>
    </xf>
    <xf borderId="1" fillId="0" fontId="17" numFmtId="0" xfId="0" applyAlignment="1" applyBorder="1" applyFont="1">
      <alignment horizontal="left" readingOrder="0" shrinkToFit="0" wrapText="0"/>
    </xf>
    <xf borderId="1" fillId="0" fontId="8" numFmtId="0" xfId="0" applyAlignment="1" applyBorder="1" applyFont="1">
      <alignment horizontal="center"/>
    </xf>
    <xf borderId="1" fillId="0" fontId="24" numFmtId="0" xfId="0" applyAlignment="1" applyBorder="1" applyFont="1">
      <alignment shrinkToFit="0" wrapText="0"/>
    </xf>
    <xf borderId="1" fillId="4" fontId="24" numFmtId="0" xfId="0" applyAlignment="1" applyBorder="1" applyFont="1">
      <alignment shrinkToFit="0" wrapText="0"/>
    </xf>
    <xf borderId="1" fillId="0" fontId="26" numFmtId="0" xfId="0" applyAlignment="1" applyBorder="1" applyFont="1">
      <alignment shrinkToFit="0" wrapText="0"/>
    </xf>
    <xf borderId="1" fillId="0" fontId="27" numFmtId="0" xfId="0" applyAlignment="1" applyBorder="1" applyFont="1">
      <alignment horizontal="center" shrinkToFit="0" wrapText="0"/>
    </xf>
    <xf borderId="1" fillId="0" fontId="4" numFmtId="0" xfId="0" applyAlignment="1" applyBorder="1" applyFont="1">
      <alignment horizontal="center" shrinkToFit="0" wrapText="0"/>
    </xf>
    <xf borderId="1" fillId="7" fontId="4" numFmtId="0" xfId="0" applyAlignment="1" applyBorder="1" applyFont="1">
      <alignment horizontal="center" shrinkToFit="0" wrapText="0"/>
    </xf>
    <xf borderId="1" fillId="9" fontId="0" numFmtId="0" xfId="0" applyAlignment="1" applyBorder="1" applyFont="1">
      <alignment horizontal="center" shrinkToFit="0" wrapText="0"/>
    </xf>
    <xf borderId="2" fillId="0" fontId="2" numFmtId="1" xfId="0" applyAlignment="1" applyBorder="1" applyFont="1" applyNumberFormat="1">
      <alignment horizontal="left" shrinkToFit="0" wrapText="0"/>
    </xf>
    <xf borderId="1" fillId="6" fontId="4" numFmtId="0" xfId="0" applyAlignment="1" applyBorder="1" applyFont="1">
      <alignment shrinkToFit="0" wrapText="0"/>
    </xf>
    <xf borderId="2" fillId="0" fontId="2" numFmtId="0" xfId="0" applyAlignment="1" applyBorder="1" applyFont="1">
      <alignment horizontal="left" shrinkToFit="0" wrapText="0"/>
    </xf>
    <xf borderId="1" fillId="0" fontId="4" numFmtId="0" xfId="0" applyAlignment="1" applyBorder="1" applyFont="1">
      <alignment shrinkToFit="0" wrapText="0"/>
    </xf>
    <xf borderId="1" fillId="4" fontId="4" numFmtId="0" xfId="0" applyAlignment="1" applyBorder="1" applyFont="1">
      <alignment shrinkToFit="0" wrapText="0"/>
    </xf>
    <xf borderId="1" fillId="0" fontId="28" numFmtId="0" xfId="0" applyAlignment="1" applyBorder="1" applyFont="1">
      <alignment horizontal="center" readingOrder="0" shrinkToFit="0" wrapText="0"/>
    </xf>
    <xf borderId="1" fillId="0" fontId="29" numFmtId="0" xfId="0" applyAlignment="1" applyBorder="1" applyFont="1">
      <alignment readingOrder="0" shrinkToFit="0" wrapText="0"/>
    </xf>
    <xf borderId="1" fillId="0" fontId="4" numFmtId="0" xfId="0" applyAlignment="1" applyBorder="1" applyFont="1">
      <alignment horizontal="center" readingOrder="0" shrinkToFit="0" wrapText="0"/>
    </xf>
    <xf borderId="1" fillId="0" fontId="30" numFmtId="0" xfId="0" applyAlignment="1" applyBorder="1" applyFont="1">
      <alignment readingOrder="0"/>
    </xf>
    <xf borderId="1" fillId="4" fontId="31" numFmtId="0" xfId="0" applyAlignment="1" applyBorder="1" applyFont="1">
      <alignment readingOrder="0"/>
    </xf>
    <xf borderId="0" fillId="0" fontId="4" numFmtId="0" xfId="0" applyAlignment="1" applyFont="1">
      <alignment horizontal="center" readingOrder="0" shrinkToFit="0" wrapText="0"/>
    </xf>
    <xf borderId="2" fillId="0" fontId="4" numFmtId="0" xfId="0" applyAlignment="1" applyBorder="1" applyFont="1">
      <alignment horizontal="center" readingOrder="0" shrinkToFit="0" wrapText="0"/>
    </xf>
    <xf borderId="2" fillId="0" fontId="4" numFmtId="0" xfId="0" applyAlignment="1" applyBorder="1" applyFont="1">
      <alignment horizontal="left" readingOrder="0" shrinkToFit="0" wrapText="0"/>
    </xf>
    <xf borderId="1" fillId="0" fontId="4" numFmtId="0" xfId="0" applyAlignment="1" applyBorder="1" applyFont="1">
      <alignment readingOrder="0" shrinkToFit="0" wrapText="0"/>
    </xf>
    <xf borderId="3" fillId="0" fontId="4" numFmtId="0" xfId="0" applyAlignment="1" applyBorder="1" applyFont="1">
      <alignment horizontal="left" readingOrder="0" shrinkToFit="0" wrapText="0"/>
    </xf>
    <xf borderId="4" fillId="0" fontId="8" numFmtId="0" xfId="0" applyBorder="1" applyFont="1"/>
    <xf borderId="5" fillId="0" fontId="8" numFmtId="0" xfId="0" applyBorder="1" applyFont="1"/>
    <xf borderId="2" fillId="0" fontId="8" numFmtId="0" xfId="0" applyAlignment="1" applyBorder="1" applyFont="1">
      <alignment horizontal="left"/>
    </xf>
    <xf borderId="2" fillId="0" fontId="8" numFmtId="0" xfId="0" applyAlignment="1" applyBorder="1" applyFont="1">
      <alignment readingOrder="0"/>
    </xf>
    <xf borderId="2" fillId="0" fontId="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tephen Paul" id="{5b7d8f61-60b5-4069-b037-827e696b4deb}"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5" dT="2020-04-28T12:05:19.00" personId="{5b7d8f61-60b5-4069-b037-827e696b4deb}" id="{740bfc94-25e9-4d60-a886-b53c65f4fb05}" done="1">
    <x18tc:text xml:space="preserve">There is a merchant mob - do we want a shop here?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luminarimud.com/new-revised-worldmap-eat-your-heart-out/" TargetMode="External"/><Relationship Id="rId5" Type="http://schemas.openxmlformats.org/officeDocument/2006/relationships/drawing" Target="../drawings/drawing2.xml"/><Relationship Id="rId6"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KalnU7SJugmNI7BWJeMT1jssNbRR-Jkq/view?usp=sharing" TargetMode="External"/><Relationship Id="rId2" Type="http://schemas.openxmlformats.org/officeDocument/2006/relationships/hyperlink" Target="https://drive.google.com/file/d/1Zowbdum1Sdpg8kqhgk-aV_XfGvUaMrlZ/view?usp=sharing"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KalnU7SJugmNI7BWJeMT1jssNbRR-Jkq/view?usp=shar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Zowbdum1Sdpg8kqhgk-aV_XfGvUaMrlZ/view?usp=sharing"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2.88"/>
    <col customWidth="1" min="2" max="2" width="6.88"/>
    <col customWidth="1" min="3" max="3" width="23.5"/>
    <col customWidth="1" min="4" max="4" width="3.88"/>
    <col customWidth="1" min="5" max="5" width="8.63"/>
    <col customWidth="1" min="6" max="6" width="11.25"/>
    <col customWidth="1" min="7" max="7" width="9.75"/>
    <col customWidth="1" min="8" max="8" width="9.63"/>
    <col customWidth="1" min="9" max="9" width="42.0"/>
    <col customWidth="1" min="10" max="10" width="15.5"/>
    <col customWidth="1" min="11" max="11" width="101.5"/>
    <col customWidth="1" min="12" max="12" width="4.5"/>
  </cols>
  <sheetData>
    <row r="1" ht="12.75" customHeight="1">
      <c r="A1" s="1" t="s">
        <v>0</v>
      </c>
      <c r="B1" s="1" t="s">
        <v>1</v>
      </c>
      <c r="C1" s="2" t="s">
        <v>2</v>
      </c>
      <c r="D1" s="3" t="s">
        <v>3</v>
      </c>
      <c r="E1" s="2" t="s">
        <v>4</v>
      </c>
      <c r="F1" s="2" t="s">
        <v>5</v>
      </c>
      <c r="G1" s="4" t="s">
        <v>6</v>
      </c>
      <c r="H1" s="4" t="s">
        <v>7</v>
      </c>
      <c r="I1" s="4" t="s">
        <v>8</v>
      </c>
      <c r="J1" s="2" t="s">
        <v>9</v>
      </c>
      <c r="K1" s="2" t="s">
        <v>10</v>
      </c>
      <c r="L1" s="2"/>
    </row>
    <row r="2" ht="12.75" customHeight="1">
      <c r="A2" s="5">
        <v>1.0</v>
      </c>
      <c r="B2" s="7" t="s">
        <v>11</v>
      </c>
      <c r="C2" s="9" t="s">
        <v>12</v>
      </c>
      <c r="D2" s="10">
        <v>1.0</v>
      </c>
      <c r="E2" s="9" t="s">
        <v>14</v>
      </c>
      <c r="F2" s="9" t="s">
        <v>15</v>
      </c>
      <c r="G2" s="9">
        <v>551500.0</v>
      </c>
      <c r="H2" s="9">
        <v>551999.0</v>
      </c>
      <c r="I2" s="12" t="s">
        <v>16</v>
      </c>
      <c r="J2" s="12" t="s">
        <v>18</v>
      </c>
      <c r="K2" s="9" t="s">
        <v>19</v>
      </c>
      <c r="L2" s="14"/>
    </row>
    <row r="3">
      <c r="A3" s="5">
        <v>1.0</v>
      </c>
      <c r="B3" s="15" t="s">
        <v>20</v>
      </c>
      <c r="C3" s="12" t="s">
        <v>22</v>
      </c>
      <c r="D3" s="10">
        <v>3.222</v>
      </c>
      <c r="E3" s="12" t="s">
        <v>14</v>
      </c>
      <c r="F3" s="12" t="s">
        <v>23</v>
      </c>
      <c r="G3" s="12">
        <v>169000.0</v>
      </c>
      <c r="H3" s="12">
        <v>169099.0</v>
      </c>
      <c r="I3" s="12" t="s">
        <v>24</v>
      </c>
      <c r="J3" s="12" t="s">
        <v>18</v>
      </c>
      <c r="K3" s="12" t="s">
        <v>25</v>
      </c>
      <c r="L3" s="17"/>
    </row>
    <row r="4" ht="12.75" customHeight="1">
      <c r="A4" s="5">
        <v>1.0</v>
      </c>
      <c r="B4" s="7" t="s">
        <v>28</v>
      </c>
      <c r="C4" s="9" t="s">
        <v>29</v>
      </c>
      <c r="D4" s="10">
        <v>3.65</v>
      </c>
      <c r="E4" s="9" t="s">
        <v>14</v>
      </c>
      <c r="F4" s="9" t="s">
        <v>30</v>
      </c>
      <c r="G4" s="9">
        <v>109000.0</v>
      </c>
      <c r="H4" s="9">
        <v>109099.0</v>
      </c>
      <c r="I4" s="18" t="s">
        <v>32</v>
      </c>
      <c r="J4" s="18" t="s">
        <v>33</v>
      </c>
      <c r="K4" s="20" t="s">
        <v>34</v>
      </c>
      <c r="L4" s="14"/>
    </row>
    <row r="5" ht="12.75" customHeight="1">
      <c r="A5" s="5">
        <v>1.0</v>
      </c>
      <c r="B5" s="7" t="s">
        <v>36</v>
      </c>
      <c r="C5" s="9" t="s">
        <v>37</v>
      </c>
      <c r="D5" s="10">
        <v>4.8</v>
      </c>
      <c r="E5" s="9" t="s">
        <v>14</v>
      </c>
      <c r="F5" s="9" t="s">
        <v>23</v>
      </c>
      <c r="G5" s="9">
        <v>128600.0</v>
      </c>
      <c r="H5" s="9">
        <v>128999.0</v>
      </c>
      <c r="I5" s="12" t="s">
        <v>38</v>
      </c>
      <c r="J5" s="12" t="s">
        <v>39</v>
      </c>
      <c r="K5" s="9" t="s">
        <v>41</v>
      </c>
      <c r="L5" s="14"/>
    </row>
    <row r="6" ht="12.75" customHeight="1">
      <c r="A6" s="5">
        <v>1.0</v>
      </c>
      <c r="B6" s="7" t="s">
        <v>42</v>
      </c>
      <c r="C6" s="9" t="s">
        <v>43</v>
      </c>
      <c r="D6" s="10">
        <v>6.75</v>
      </c>
      <c r="E6" s="9" t="s">
        <v>14</v>
      </c>
      <c r="F6" s="9" t="s">
        <v>23</v>
      </c>
      <c r="G6" s="9">
        <v>168800.0</v>
      </c>
      <c r="H6" s="9">
        <v>168899.0</v>
      </c>
      <c r="I6" s="12" t="s">
        <v>45</v>
      </c>
      <c r="J6" s="12" t="s">
        <v>18</v>
      </c>
      <c r="K6" s="9" t="s">
        <v>25</v>
      </c>
      <c r="L6" s="14"/>
    </row>
    <row r="7" ht="12.75" customHeight="1">
      <c r="A7" s="5">
        <v>1.0</v>
      </c>
      <c r="B7" s="7" t="s">
        <v>46</v>
      </c>
      <c r="C7" s="9" t="s">
        <v>47</v>
      </c>
      <c r="D7" s="10">
        <v>7.545</v>
      </c>
      <c r="E7" s="9" t="s">
        <v>14</v>
      </c>
      <c r="F7" s="9" t="s">
        <v>48</v>
      </c>
      <c r="G7" s="9">
        <v>110300.0</v>
      </c>
      <c r="H7" s="9">
        <v>110399.0</v>
      </c>
      <c r="I7" s="18" t="s">
        <v>49</v>
      </c>
      <c r="J7" s="18" t="s">
        <v>50</v>
      </c>
      <c r="K7" s="20" t="s">
        <v>51</v>
      </c>
      <c r="L7" s="14"/>
    </row>
    <row r="8">
      <c r="A8" s="5">
        <v>1.0</v>
      </c>
      <c r="B8" s="15" t="s">
        <v>52</v>
      </c>
      <c r="C8" s="12" t="s">
        <v>53</v>
      </c>
      <c r="D8" s="10">
        <v>7.667</v>
      </c>
      <c r="E8" s="12" t="s">
        <v>14</v>
      </c>
      <c r="F8" s="12" t="s">
        <v>23</v>
      </c>
      <c r="G8" s="12">
        <v>168900.0</v>
      </c>
      <c r="H8" s="12">
        <v>168999.0</v>
      </c>
      <c r="I8" s="12" t="s">
        <v>55</v>
      </c>
      <c r="J8" s="12" t="s">
        <v>18</v>
      </c>
      <c r="K8" s="12" t="s">
        <v>56</v>
      </c>
      <c r="L8" s="17"/>
    </row>
    <row r="9" ht="12.75" customHeight="1">
      <c r="A9" s="5">
        <v>1.0</v>
      </c>
      <c r="B9" s="7" t="s">
        <v>59</v>
      </c>
      <c r="C9" s="9" t="s">
        <v>61</v>
      </c>
      <c r="D9" s="10">
        <v>8.412</v>
      </c>
      <c r="E9" s="9" t="s">
        <v>14</v>
      </c>
      <c r="F9" s="9" t="s">
        <v>63</v>
      </c>
      <c r="G9" s="9">
        <v>126400.0</v>
      </c>
      <c r="H9" s="9">
        <v>126599.0</v>
      </c>
      <c r="I9" s="18" t="s">
        <v>66</v>
      </c>
      <c r="J9" s="18" t="s">
        <v>33</v>
      </c>
      <c r="K9" s="20" t="s">
        <v>67</v>
      </c>
      <c r="L9" s="14"/>
    </row>
    <row r="10" ht="12.75" customHeight="1">
      <c r="A10" s="5">
        <v>1.0</v>
      </c>
      <c r="B10" s="7" t="s">
        <v>70</v>
      </c>
      <c r="C10" s="9" t="s">
        <v>71</v>
      </c>
      <c r="D10" s="10">
        <v>11.441</v>
      </c>
      <c r="E10" s="9" t="s">
        <v>14</v>
      </c>
      <c r="F10" s="9" t="s">
        <v>72</v>
      </c>
      <c r="G10" s="9">
        <v>104900.0</v>
      </c>
      <c r="H10" s="9">
        <v>104999.0</v>
      </c>
      <c r="I10" s="18" t="s">
        <v>73</v>
      </c>
      <c r="J10" s="18" t="s">
        <v>74</v>
      </c>
      <c r="K10" s="20" t="s">
        <v>75</v>
      </c>
      <c r="L10" s="14"/>
    </row>
    <row r="11" ht="12.75" customHeight="1">
      <c r="A11" s="5">
        <v>1.0</v>
      </c>
      <c r="B11" s="7" t="s">
        <v>77</v>
      </c>
      <c r="C11" s="9" t="s">
        <v>78</v>
      </c>
      <c r="D11" s="10">
        <v>12.609</v>
      </c>
      <c r="E11" s="9" t="s">
        <v>14</v>
      </c>
      <c r="F11" s="9" t="s">
        <v>81</v>
      </c>
      <c r="G11" s="9">
        <v>115300.0</v>
      </c>
      <c r="H11" s="9">
        <v>115399.0</v>
      </c>
      <c r="I11" s="18">
        <v>1040.0</v>
      </c>
      <c r="J11" s="18" t="s">
        <v>82</v>
      </c>
      <c r="K11" s="20" t="s">
        <v>84</v>
      </c>
      <c r="L11" s="14"/>
    </row>
    <row r="12">
      <c r="A12" s="5">
        <v>1.0</v>
      </c>
      <c r="B12" s="15" t="s">
        <v>85</v>
      </c>
      <c r="C12" s="12" t="s">
        <v>86</v>
      </c>
      <c r="D12" s="10">
        <v>13.313</v>
      </c>
      <c r="E12" s="12" t="s">
        <v>14</v>
      </c>
      <c r="F12" s="12" t="s">
        <v>87</v>
      </c>
      <c r="G12" s="12">
        <v>133900.0</v>
      </c>
      <c r="H12" s="12">
        <v>134099.0</v>
      </c>
      <c r="I12" s="12" t="s">
        <v>91</v>
      </c>
      <c r="J12" s="12" t="s">
        <v>18</v>
      </c>
      <c r="K12" s="12" t="s">
        <v>92</v>
      </c>
      <c r="L12" s="17"/>
    </row>
    <row r="13" ht="12.75" customHeight="1">
      <c r="A13" s="5">
        <v>1.0</v>
      </c>
      <c r="B13" s="7" t="s">
        <v>93</v>
      </c>
      <c r="C13" s="9" t="s">
        <v>94</v>
      </c>
      <c r="D13" s="10">
        <v>13.5</v>
      </c>
      <c r="E13" s="9" t="s">
        <v>14</v>
      </c>
      <c r="F13" s="9" t="s">
        <v>95</v>
      </c>
      <c r="G13" s="9">
        <v>128000.0</v>
      </c>
      <c r="H13" s="9">
        <v>128099.0</v>
      </c>
      <c r="I13" s="12" t="s">
        <v>96</v>
      </c>
      <c r="J13" s="12" t="s">
        <v>97</v>
      </c>
      <c r="K13" s="9" t="s">
        <v>98</v>
      </c>
      <c r="L13" s="14"/>
    </row>
    <row r="14">
      <c r="A14" s="5">
        <v>1.0</v>
      </c>
      <c r="B14" s="15" t="s">
        <v>99</v>
      </c>
      <c r="C14" s="12" t="s">
        <v>100</v>
      </c>
      <c r="D14" s="10">
        <v>13.615</v>
      </c>
      <c r="E14" s="12" t="s">
        <v>14</v>
      </c>
      <c r="F14" s="12" t="s">
        <v>23</v>
      </c>
      <c r="G14" s="12">
        <v>169300.0</v>
      </c>
      <c r="H14" s="12">
        <v>169399.0</v>
      </c>
      <c r="I14" s="12" t="s">
        <v>101</v>
      </c>
      <c r="J14" s="12" t="s">
        <v>18</v>
      </c>
      <c r="K14" s="12" t="s">
        <v>102</v>
      </c>
      <c r="L14" s="17"/>
    </row>
    <row r="15" ht="12.75" customHeight="1">
      <c r="A15" s="5">
        <v>1.0</v>
      </c>
      <c r="B15" s="7" t="s">
        <v>105</v>
      </c>
      <c r="C15" s="9" t="s">
        <v>106</v>
      </c>
      <c r="D15" s="10">
        <v>13.696</v>
      </c>
      <c r="E15" s="9" t="s">
        <v>14</v>
      </c>
      <c r="F15" s="9" t="s">
        <v>108</v>
      </c>
      <c r="G15" s="9">
        <v>114200.0</v>
      </c>
      <c r="H15" s="9">
        <v>114399.0</v>
      </c>
      <c r="I15" s="18" t="s">
        <v>110</v>
      </c>
      <c r="J15" s="18" t="s">
        <v>111</v>
      </c>
      <c r="K15" s="20" t="s">
        <v>112</v>
      </c>
      <c r="L15" s="14"/>
    </row>
    <row r="16" ht="12.75" customHeight="1">
      <c r="A16" s="5">
        <v>1.0</v>
      </c>
      <c r="B16" s="7" t="s">
        <v>113</v>
      </c>
      <c r="C16" s="9" t="s">
        <v>114</v>
      </c>
      <c r="D16" s="10">
        <v>14.071</v>
      </c>
      <c r="E16" s="9" t="s">
        <v>14</v>
      </c>
      <c r="F16" s="9" t="s">
        <v>95</v>
      </c>
      <c r="G16" s="9">
        <v>104700.0</v>
      </c>
      <c r="H16" s="9">
        <v>104899.0</v>
      </c>
      <c r="I16" s="18">
        <v>1045.0</v>
      </c>
      <c r="J16" s="18" t="s">
        <v>116</v>
      </c>
      <c r="K16" s="20" t="s">
        <v>117</v>
      </c>
      <c r="L16" s="14"/>
    </row>
    <row r="17" ht="12.75" customHeight="1">
      <c r="A17" s="5">
        <v>1.0</v>
      </c>
      <c r="B17" s="7" t="s">
        <v>119</v>
      </c>
      <c r="C17" s="9" t="s">
        <v>120</v>
      </c>
      <c r="D17" s="10">
        <v>14.583</v>
      </c>
      <c r="E17" s="9" t="s">
        <v>14</v>
      </c>
      <c r="F17" s="9" t="s">
        <v>121</v>
      </c>
      <c r="G17" s="9">
        <v>113300.0</v>
      </c>
      <c r="H17" s="9">
        <v>113399.0</v>
      </c>
      <c r="I17" s="18">
        <v>1091.0</v>
      </c>
      <c r="J17" s="18" t="s">
        <v>124</v>
      </c>
      <c r="K17" s="20" t="s">
        <v>125</v>
      </c>
      <c r="L17" s="14"/>
    </row>
    <row r="18" ht="12.75" customHeight="1">
      <c r="A18" s="5">
        <v>1.0</v>
      </c>
      <c r="B18" s="7" t="s">
        <v>126</v>
      </c>
      <c r="C18" s="9" t="s">
        <v>127</v>
      </c>
      <c r="D18" s="10">
        <v>14.595</v>
      </c>
      <c r="E18" s="9" t="s">
        <v>14</v>
      </c>
      <c r="F18" s="9" t="s">
        <v>129</v>
      </c>
      <c r="G18" s="9">
        <v>106600.0</v>
      </c>
      <c r="H18" s="9">
        <v>106699.0</v>
      </c>
      <c r="I18" s="18">
        <v>1023.0</v>
      </c>
      <c r="J18" s="18" t="s">
        <v>130</v>
      </c>
      <c r="K18" s="20" t="s">
        <v>131</v>
      </c>
      <c r="L18" s="14"/>
    </row>
    <row r="19" ht="12.75" customHeight="1">
      <c r="A19" s="5">
        <v>1.0</v>
      </c>
      <c r="B19" s="7" t="s">
        <v>133</v>
      </c>
      <c r="C19" s="9" t="s">
        <v>134</v>
      </c>
      <c r="D19" s="10">
        <v>14.778</v>
      </c>
      <c r="E19" s="9" t="s">
        <v>14</v>
      </c>
      <c r="F19" s="9" t="s">
        <v>23</v>
      </c>
      <c r="G19" s="9">
        <v>169100.0</v>
      </c>
      <c r="H19" s="9">
        <v>169199.0</v>
      </c>
      <c r="I19" s="12" t="s">
        <v>135</v>
      </c>
      <c r="J19" s="12" t="s">
        <v>18</v>
      </c>
      <c r="K19" s="9" t="s">
        <v>137</v>
      </c>
      <c r="L19" s="14"/>
    </row>
    <row r="20">
      <c r="A20" s="5">
        <v>1.0</v>
      </c>
      <c r="B20" s="15" t="s">
        <v>138</v>
      </c>
      <c r="C20" s="12" t="s">
        <v>139</v>
      </c>
      <c r="D20" s="10">
        <v>15.31</v>
      </c>
      <c r="E20" s="12" t="s">
        <v>14</v>
      </c>
      <c r="F20" s="12" t="s">
        <v>141</v>
      </c>
      <c r="G20" s="12">
        <v>126000.0</v>
      </c>
      <c r="H20" s="12">
        <v>126199.0</v>
      </c>
      <c r="I20" s="18">
        <v>1087.0</v>
      </c>
      <c r="J20" s="18" t="s">
        <v>143</v>
      </c>
      <c r="K20" s="18" t="s">
        <v>144</v>
      </c>
      <c r="L20" s="17"/>
    </row>
    <row r="21" ht="12.75" customHeight="1">
      <c r="A21" s="5">
        <v>1.0</v>
      </c>
      <c r="B21" s="7" t="s">
        <v>145</v>
      </c>
      <c r="C21" s="9" t="s">
        <v>147</v>
      </c>
      <c r="D21" s="10">
        <v>15.419</v>
      </c>
      <c r="E21" s="9" t="s">
        <v>14</v>
      </c>
      <c r="F21" s="9" t="s">
        <v>148</v>
      </c>
      <c r="G21" s="9">
        <v>146800.0</v>
      </c>
      <c r="H21" s="9">
        <v>146999.0</v>
      </c>
      <c r="I21" s="12" t="s">
        <v>149</v>
      </c>
      <c r="J21" s="12" t="s">
        <v>151</v>
      </c>
      <c r="K21" s="9" t="s">
        <v>152</v>
      </c>
      <c r="L21" s="14"/>
    </row>
    <row r="22" ht="12.75" customHeight="1">
      <c r="A22" s="5">
        <v>1.0</v>
      </c>
      <c r="B22" s="7" t="s">
        <v>153</v>
      </c>
      <c r="C22" s="9" t="s">
        <v>154</v>
      </c>
      <c r="D22" s="10">
        <v>15.604</v>
      </c>
      <c r="E22" s="9" t="s">
        <v>14</v>
      </c>
      <c r="F22" s="9" t="s">
        <v>156</v>
      </c>
      <c r="G22" s="9">
        <v>125000.0</v>
      </c>
      <c r="H22" s="9">
        <v>125299.0</v>
      </c>
      <c r="I22" s="18" t="s">
        <v>157</v>
      </c>
      <c r="J22" s="18" t="s">
        <v>158</v>
      </c>
      <c r="K22" s="20" t="s">
        <v>159</v>
      </c>
      <c r="L22" s="14"/>
    </row>
    <row r="23" ht="12.75" customHeight="1">
      <c r="A23" s="5">
        <v>1.0</v>
      </c>
      <c r="B23" s="7" t="s">
        <v>161</v>
      </c>
      <c r="C23" s="9" t="s">
        <v>162</v>
      </c>
      <c r="D23" s="10">
        <v>15.793</v>
      </c>
      <c r="E23" s="9" t="s">
        <v>14</v>
      </c>
      <c r="F23" s="9" t="s">
        <v>163</v>
      </c>
      <c r="G23" s="9">
        <v>126600.0</v>
      </c>
      <c r="H23" s="9">
        <v>126699.0</v>
      </c>
      <c r="I23" s="12" t="s">
        <v>165</v>
      </c>
      <c r="J23" s="18" t="s">
        <v>166</v>
      </c>
      <c r="K23" s="9" t="s">
        <v>167</v>
      </c>
      <c r="L23" s="14"/>
    </row>
    <row r="24" ht="12.75" customHeight="1">
      <c r="A24" s="5">
        <v>1.0</v>
      </c>
      <c r="B24" s="7" t="s">
        <v>168</v>
      </c>
      <c r="C24" s="9" t="s">
        <v>169</v>
      </c>
      <c r="D24" s="10">
        <v>16.6</v>
      </c>
      <c r="E24" s="9" t="s">
        <v>14</v>
      </c>
      <c r="F24" s="9" t="s">
        <v>171</v>
      </c>
      <c r="G24" s="9">
        <v>120200.0</v>
      </c>
      <c r="H24" s="9">
        <v>120299.0</v>
      </c>
      <c r="I24" s="18">
        <v>1091.0</v>
      </c>
      <c r="J24" s="18" t="s">
        <v>174</v>
      </c>
      <c r="K24" s="20" t="s">
        <v>175</v>
      </c>
      <c r="L24" s="14"/>
    </row>
    <row r="25" ht="12.75" customHeight="1">
      <c r="A25" s="5">
        <v>1.0</v>
      </c>
      <c r="B25" s="7" t="s">
        <v>177</v>
      </c>
      <c r="C25" s="9" t="s">
        <v>178</v>
      </c>
      <c r="D25" s="10">
        <v>17.0</v>
      </c>
      <c r="E25" s="9" t="s">
        <v>14</v>
      </c>
      <c r="F25" s="9" t="s">
        <v>87</v>
      </c>
      <c r="G25" s="9">
        <v>143000.0</v>
      </c>
      <c r="H25" s="9">
        <v>143199.0</v>
      </c>
      <c r="I25" s="12" t="s">
        <v>180</v>
      </c>
      <c r="J25" s="12" t="s">
        <v>181</v>
      </c>
      <c r="K25" s="9" t="s">
        <v>182</v>
      </c>
      <c r="L25" s="14"/>
    </row>
    <row r="26" ht="12.75" customHeight="1">
      <c r="A26" s="5">
        <v>1.0</v>
      </c>
      <c r="B26" s="7" t="s">
        <v>184</v>
      </c>
      <c r="C26" s="9" t="s">
        <v>185</v>
      </c>
      <c r="D26" s="10">
        <v>17.333</v>
      </c>
      <c r="E26" s="9" t="s">
        <v>14</v>
      </c>
      <c r="F26" s="9" t="s">
        <v>187</v>
      </c>
      <c r="G26" s="9">
        <v>117900.0</v>
      </c>
      <c r="H26" s="9">
        <v>117999.0</v>
      </c>
      <c r="I26" s="18" t="s">
        <v>188</v>
      </c>
      <c r="J26" s="18" t="s">
        <v>190</v>
      </c>
      <c r="K26" s="20" t="s">
        <v>191</v>
      </c>
      <c r="L26" s="14"/>
    </row>
    <row r="27" ht="12.75" customHeight="1">
      <c r="A27" s="5">
        <v>1.0</v>
      </c>
      <c r="B27" s="7" t="s">
        <v>192</v>
      </c>
      <c r="C27" s="9" t="s">
        <v>193</v>
      </c>
      <c r="D27" s="10">
        <v>17.5</v>
      </c>
      <c r="E27" s="9" t="s">
        <v>14</v>
      </c>
      <c r="F27" s="9" t="s">
        <v>195</v>
      </c>
      <c r="G27" s="9">
        <v>107100.0</v>
      </c>
      <c r="H27" s="9">
        <v>107199.0</v>
      </c>
      <c r="I27" s="18">
        <v>1264.0</v>
      </c>
      <c r="J27" s="18" t="s">
        <v>197</v>
      </c>
      <c r="K27" s="20" t="s">
        <v>198</v>
      </c>
      <c r="L27" s="14"/>
    </row>
    <row r="28" ht="12.75" customHeight="1">
      <c r="A28" s="5">
        <v>1.0</v>
      </c>
      <c r="B28" s="7" t="s">
        <v>201</v>
      </c>
      <c r="C28" s="9" t="s">
        <v>202</v>
      </c>
      <c r="D28" s="10">
        <v>18.338</v>
      </c>
      <c r="E28" s="9" t="s">
        <v>14</v>
      </c>
      <c r="F28" s="9" t="s">
        <v>204</v>
      </c>
      <c r="G28" s="9">
        <v>145500.0</v>
      </c>
      <c r="H28" s="9">
        <v>146199.0</v>
      </c>
      <c r="I28" s="12" t="s">
        <v>149</v>
      </c>
      <c r="J28" s="18" t="s">
        <v>208</v>
      </c>
      <c r="K28" s="9" t="s">
        <v>209</v>
      </c>
      <c r="L28" s="14"/>
    </row>
    <row r="29">
      <c r="A29" s="5">
        <v>1.0</v>
      </c>
      <c r="B29" s="15" t="s">
        <v>211</v>
      </c>
      <c r="C29" s="12" t="s">
        <v>212</v>
      </c>
      <c r="D29" s="10">
        <v>18.706</v>
      </c>
      <c r="E29" s="12" t="s">
        <v>14</v>
      </c>
      <c r="F29" s="12" t="s">
        <v>23</v>
      </c>
      <c r="G29" s="12">
        <v>169200.0</v>
      </c>
      <c r="H29" s="12">
        <v>169299.0</v>
      </c>
      <c r="I29" s="12" t="s">
        <v>215</v>
      </c>
      <c r="J29" s="18" t="s">
        <v>33</v>
      </c>
      <c r="K29" s="12" t="s">
        <v>25</v>
      </c>
      <c r="L29" s="17"/>
    </row>
    <row r="30" ht="12.75" customHeight="1">
      <c r="A30" s="5">
        <v>1.0</v>
      </c>
      <c r="B30" s="7" t="s">
        <v>219</v>
      </c>
      <c r="C30" s="9" t="s">
        <v>221</v>
      </c>
      <c r="D30" s="10">
        <v>18.957</v>
      </c>
      <c r="E30" s="9" t="s">
        <v>14</v>
      </c>
      <c r="F30" s="9" t="s">
        <v>223</v>
      </c>
      <c r="G30" s="9">
        <v>107000.0</v>
      </c>
      <c r="H30" s="9">
        <v>107099.0</v>
      </c>
      <c r="I30" s="12" t="s">
        <v>149</v>
      </c>
      <c r="J30" s="18" t="s">
        <v>226</v>
      </c>
      <c r="K30" s="20" t="s">
        <v>228</v>
      </c>
      <c r="L30" s="14"/>
    </row>
    <row r="31" ht="12.75" customHeight="1">
      <c r="A31" s="5">
        <v>1.0</v>
      </c>
      <c r="B31" s="7" t="s">
        <v>230</v>
      </c>
      <c r="C31" s="9" t="s">
        <v>231</v>
      </c>
      <c r="D31" s="10">
        <v>19.056</v>
      </c>
      <c r="E31" s="9" t="s">
        <v>14</v>
      </c>
      <c r="F31" s="9" t="s">
        <v>232</v>
      </c>
      <c r="G31" s="9">
        <v>120400.0</v>
      </c>
      <c r="H31" s="9">
        <v>120799.0</v>
      </c>
      <c r="I31" s="12" t="s">
        <v>149</v>
      </c>
      <c r="J31" s="18" t="s">
        <v>158</v>
      </c>
      <c r="K31" s="20" t="s">
        <v>235</v>
      </c>
      <c r="L31" s="14"/>
    </row>
    <row r="32" ht="12.75" customHeight="1">
      <c r="A32" s="5">
        <v>1.0</v>
      </c>
      <c r="B32" s="7" t="s">
        <v>236</v>
      </c>
      <c r="C32" s="9" t="s">
        <v>237</v>
      </c>
      <c r="D32" s="10">
        <v>19.2</v>
      </c>
      <c r="E32" s="9" t="s">
        <v>14</v>
      </c>
      <c r="F32" s="9" t="s">
        <v>239</v>
      </c>
      <c r="G32" s="9">
        <v>104000.0</v>
      </c>
      <c r="H32" s="9">
        <v>104299.0</v>
      </c>
      <c r="I32" s="12" t="s">
        <v>149</v>
      </c>
      <c r="J32" s="18" t="s">
        <v>33</v>
      </c>
      <c r="K32" s="20" t="s">
        <v>242</v>
      </c>
      <c r="L32" s="14"/>
    </row>
    <row r="33" ht="12.75" customHeight="1">
      <c r="A33" s="5">
        <v>1.0</v>
      </c>
      <c r="B33" s="7" t="s">
        <v>243</v>
      </c>
      <c r="C33" s="9" t="s">
        <v>244</v>
      </c>
      <c r="D33" s="10">
        <v>20.125</v>
      </c>
      <c r="E33" s="9" t="s">
        <v>14</v>
      </c>
      <c r="F33" s="9" t="s">
        <v>246</v>
      </c>
      <c r="G33" s="9">
        <v>125300.0</v>
      </c>
      <c r="H33" s="9">
        <v>125499.0</v>
      </c>
      <c r="I33" s="18" t="s">
        <v>248</v>
      </c>
      <c r="J33" s="18" t="s">
        <v>33</v>
      </c>
      <c r="K33" s="20" t="s">
        <v>250</v>
      </c>
      <c r="L33" s="14"/>
    </row>
    <row r="34" ht="12.75" customHeight="1">
      <c r="A34" s="5">
        <v>1.0</v>
      </c>
      <c r="B34" s="7" t="s">
        <v>252</v>
      </c>
      <c r="C34" s="9" t="s">
        <v>254</v>
      </c>
      <c r="D34" s="10">
        <v>20.143</v>
      </c>
      <c r="E34" s="9" t="s">
        <v>14</v>
      </c>
      <c r="F34" s="9" t="s">
        <v>255</v>
      </c>
      <c r="G34" s="9">
        <v>115700.0</v>
      </c>
      <c r="H34" s="9">
        <v>115899.0</v>
      </c>
      <c r="I34" s="18">
        <v>1691.0</v>
      </c>
      <c r="J34" s="18" t="s">
        <v>256</v>
      </c>
      <c r="K34" s="20" t="s">
        <v>257</v>
      </c>
      <c r="L34" s="14"/>
    </row>
    <row r="35" ht="12.75" customHeight="1">
      <c r="A35" s="5">
        <v>1.0</v>
      </c>
      <c r="B35" s="7" t="s">
        <v>258</v>
      </c>
      <c r="C35" s="9" t="s">
        <v>260</v>
      </c>
      <c r="D35" s="10">
        <v>20.475</v>
      </c>
      <c r="E35" s="9" t="s">
        <v>14</v>
      </c>
      <c r="F35" s="9" t="s">
        <v>261</v>
      </c>
      <c r="G35" s="9">
        <v>106400.0</v>
      </c>
      <c r="H35" s="9">
        <v>106599.0</v>
      </c>
      <c r="I35" s="18">
        <v>1693.0</v>
      </c>
      <c r="J35" s="18" t="s">
        <v>262</v>
      </c>
      <c r="K35" s="20" t="s">
        <v>265</v>
      </c>
      <c r="L35" s="14"/>
    </row>
    <row r="36" ht="12.75" customHeight="1">
      <c r="A36" s="5">
        <v>1.0</v>
      </c>
      <c r="B36" s="7" t="s">
        <v>266</v>
      </c>
      <c r="C36" s="9" t="s">
        <v>268</v>
      </c>
      <c r="D36" s="10">
        <v>22.735</v>
      </c>
      <c r="E36" s="9" t="s">
        <v>14</v>
      </c>
      <c r="F36" s="9" t="s">
        <v>270</v>
      </c>
      <c r="G36" s="9">
        <v>113700.0</v>
      </c>
      <c r="H36" s="9">
        <v>113899.0</v>
      </c>
      <c r="I36" s="18">
        <v>1088.0</v>
      </c>
      <c r="J36" s="18" t="s">
        <v>272</v>
      </c>
      <c r="K36" s="20" t="s">
        <v>273</v>
      </c>
      <c r="L36" s="14"/>
    </row>
    <row r="37" ht="12.75" customHeight="1">
      <c r="A37" s="5">
        <v>1.0</v>
      </c>
      <c r="B37" s="7" t="s">
        <v>274</v>
      </c>
      <c r="C37" s="9" t="s">
        <v>275</v>
      </c>
      <c r="D37" s="10">
        <v>23.746</v>
      </c>
      <c r="E37" s="9" t="s">
        <v>14</v>
      </c>
      <c r="F37" s="9" t="s">
        <v>276</v>
      </c>
      <c r="G37" s="9">
        <v>132500.0</v>
      </c>
      <c r="H37" s="9">
        <v>132699.0</v>
      </c>
      <c r="I37" s="12" t="s">
        <v>277</v>
      </c>
      <c r="J37" s="12" t="s">
        <v>278</v>
      </c>
      <c r="K37" s="9" t="s">
        <v>279</v>
      </c>
      <c r="L37" s="14"/>
    </row>
    <row r="38">
      <c r="A38" s="5">
        <v>1.0</v>
      </c>
      <c r="B38" s="15" t="s">
        <v>280</v>
      </c>
      <c r="C38" s="12" t="s">
        <v>281</v>
      </c>
      <c r="D38" s="10">
        <v>24.0</v>
      </c>
      <c r="E38" s="12" t="s">
        <v>14</v>
      </c>
      <c r="F38" s="12" t="s">
        <v>282</v>
      </c>
      <c r="G38" s="12">
        <v>109400.0</v>
      </c>
      <c r="H38" s="12">
        <v>109499.0</v>
      </c>
      <c r="I38" s="18" t="s">
        <v>283</v>
      </c>
      <c r="J38" s="18" t="s">
        <v>33</v>
      </c>
      <c r="K38" s="18" t="s">
        <v>284</v>
      </c>
      <c r="L38" s="17"/>
    </row>
    <row r="39" ht="12.75" customHeight="1">
      <c r="A39" s="5">
        <v>1.0</v>
      </c>
      <c r="B39" s="7" t="s">
        <v>285</v>
      </c>
      <c r="C39" s="9" t="s">
        <v>286</v>
      </c>
      <c r="D39" s="10">
        <v>24.659</v>
      </c>
      <c r="E39" s="9" t="s">
        <v>14</v>
      </c>
      <c r="F39" s="9" t="s">
        <v>287</v>
      </c>
      <c r="G39" s="9">
        <v>138000.0</v>
      </c>
      <c r="H39" s="9">
        <v>138399.0</v>
      </c>
      <c r="I39" s="12" t="s">
        <v>288</v>
      </c>
      <c r="J39" s="12" t="s">
        <v>289</v>
      </c>
      <c r="K39" s="9" t="s">
        <v>290</v>
      </c>
      <c r="L39" s="14"/>
    </row>
    <row r="40" ht="12.75" customHeight="1">
      <c r="A40" s="75" t="s">
        <v>291</v>
      </c>
      <c r="B40" s="78" t="s">
        <v>296</v>
      </c>
      <c r="C40" s="79" t="s">
        <v>297</v>
      </c>
      <c r="D40" s="80">
        <v>0.0</v>
      </c>
      <c r="E40" s="79" t="s">
        <v>14</v>
      </c>
      <c r="F40" s="79" t="s">
        <v>48</v>
      </c>
      <c r="G40" s="79">
        <v>108600.0</v>
      </c>
      <c r="H40" s="79">
        <v>108699.0</v>
      </c>
      <c r="I40" s="82" t="s">
        <v>149</v>
      </c>
      <c r="J40" s="82" t="s">
        <v>18</v>
      </c>
      <c r="K40" s="83" t="s">
        <v>300</v>
      </c>
      <c r="L40" s="84"/>
    </row>
    <row r="41" ht="12.75" customHeight="1">
      <c r="A41" s="75" t="s">
        <v>291</v>
      </c>
      <c r="B41" s="78" t="s">
        <v>302</v>
      </c>
      <c r="C41" s="79" t="s">
        <v>303</v>
      </c>
      <c r="D41" s="80">
        <v>0.0</v>
      </c>
      <c r="E41" s="79" t="s">
        <v>14</v>
      </c>
      <c r="F41" s="79" t="s">
        <v>304</v>
      </c>
      <c r="G41" s="79">
        <v>108700.0</v>
      </c>
      <c r="H41" s="79">
        <v>108799.0</v>
      </c>
      <c r="I41" s="82" t="s">
        <v>149</v>
      </c>
      <c r="J41" s="82" t="s">
        <v>18</v>
      </c>
      <c r="K41" s="83" t="s">
        <v>300</v>
      </c>
      <c r="L41" s="84"/>
    </row>
    <row r="42">
      <c r="A42" s="75" t="s">
        <v>291</v>
      </c>
      <c r="B42" s="85" t="s">
        <v>307</v>
      </c>
      <c r="C42" s="82" t="s">
        <v>308</v>
      </c>
      <c r="D42" s="80">
        <v>0.0</v>
      </c>
      <c r="E42" s="82" t="s">
        <v>14</v>
      </c>
      <c r="F42" s="82" t="s">
        <v>309</v>
      </c>
      <c r="G42" s="82">
        <v>108900.0</v>
      </c>
      <c r="H42" s="82">
        <v>108999.0</v>
      </c>
      <c r="I42" s="86" t="s">
        <v>310</v>
      </c>
      <c r="J42" s="86" t="s">
        <v>18</v>
      </c>
      <c r="K42" s="86" t="s">
        <v>300</v>
      </c>
      <c r="L42" s="87"/>
    </row>
    <row r="43">
      <c r="A43" s="75" t="s">
        <v>291</v>
      </c>
      <c r="B43" s="85" t="s">
        <v>312</v>
      </c>
      <c r="C43" s="82" t="s">
        <v>314</v>
      </c>
      <c r="D43" s="80">
        <v>0.0</v>
      </c>
      <c r="E43" s="82" t="s">
        <v>14</v>
      </c>
      <c r="F43" s="82" t="s">
        <v>30</v>
      </c>
      <c r="G43" s="82">
        <v>107200.0</v>
      </c>
      <c r="H43" s="82">
        <v>107399.0</v>
      </c>
      <c r="I43" s="82" t="s">
        <v>316</v>
      </c>
      <c r="J43" s="82" t="s">
        <v>18</v>
      </c>
      <c r="K43" s="82" t="s">
        <v>317</v>
      </c>
      <c r="L43" s="87"/>
    </row>
    <row r="44">
      <c r="A44" s="75" t="s">
        <v>291</v>
      </c>
      <c r="B44" s="85" t="s">
        <v>318</v>
      </c>
      <c r="C44" s="82" t="s">
        <v>319</v>
      </c>
      <c r="D44" s="80">
        <v>0.0</v>
      </c>
      <c r="E44" s="82" t="s">
        <v>14</v>
      </c>
      <c r="F44" s="82" t="s">
        <v>320</v>
      </c>
      <c r="G44" s="82">
        <v>133700.0</v>
      </c>
      <c r="H44" s="82">
        <v>133899.0</v>
      </c>
      <c r="I44" s="82" t="s">
        <v>322</v>
      </c>
      <c r="J44" s="82" t="s">
        <v>18</v>
      </c>
      <c r="K44" s="82" t="s">
        <v>324</v>
      </c>
      <c r="L44" s="87"/>
    </row>
    <row r="45" ht="12.75" customHeight="1">
      <c r="A45" s="75" t="s">
        <v>291</v>
      </c>
      <c r="B45" s="78" t="s">
        <v>326</v>
      </c>
      <c r="C45" s="79" t="s">
        <v>327</v>
      </c>
      <c r="D45" s="80">
        <v>0.0</v>
      </c>
      <c r="E45" s="79" t="s">
        <v>14</v>
      </c>
      <c r="F45" s="79" t="s">
        <v>328</v>
      </c>
      <c r="G45" s="79">
        <v>134100.0</v>
      </c>
      <c r="H45" s="79">
        <v>134299.0</v>
      </c>
      <c r="I45" s="82" t="s">
        <v>149</v>
      </c>
      <c r="J45" s="82" t="s">
        <v>18</v>
      </c>
      <c r="K45" s="83" t="s">
        <v>329</v>
      </c>
      <c r="L45" s="84"/>
    </row>
    <row r="46" ht="12.75" customHeight="1">
      <c r="A46" s="75" t="s">
        <v>291</v>
      </c>
      <c r="B46" s="78" t="s">
        <v>330</v>
      </c>
      <c r="C46" s="79" t="s">
        <v>331</v>
      </c>
      <c r="D46" s="80">
        <v>0.0</v>
      </c>
      <c r="E46" s="79" t="s">
        <v>14</v>
      </c>
      <c r="F46" s="79" t="s">
        <v>23</v>
      </c>
      <c r="G46" s="79">
        <v>552000.0</v>
      </c>
      <c r="H46" s="79">
        <v>552099.0</v>
      </c>
      <c r="I46" s="82" t="s">
        <v>149</v>
      </c>
      <c r="J46" s="82"/>
      <c r="K46" s="79"/>
      <c r="L46" s="84"/>
    </row>
    <row r="47" ht="12.75" customHeight="1">
      <c r="A47" s="75" t="s">
        <v>291</v>
      </c>
      <c r="B47" s="78" t="s">
        <v>333</v>
      </c>
      <c r="C47" s="79" t="s">
        <v>334</v>
      </c>
      <c r="D47" s="80">
        <v>0.0</v>
      </c>
      <c r="E47" s="79" t="s">
        <v>335</v>
      </c>
      <c r="F47" s="79" t="s">
        <v>336</v>
      </c>
      <c r="G47" s="79">
        <v>552700.0</v>
      </c>
      <c r="H47" s="79">
        <v>552899.0</v>
      </c>
      <c r="I47" s="82" t="s">
        <v>149</v>
      </c>
      <c r="J47" s="82"/>
      <c r="K47" s="79"/>
      <c r="L47" s="84"/>
    </row>
    <row r="48" ht="12.75" customHeight="1">
      <c r="A48" s="75" t="s">
        <v>291</v>
      </c>
      <c r="B48" s="78" t="s">
        <v>338</v>
      </c>
      <c r="C48" s="79" t="s">
        <v>339</v>
      </c>
      <c r="D48" s="80">
        <v>0.0</v>
      </c>
      <c r="E48" s="79" t="s">
        <v>335</v>
      </c>
      <c r="F48" s="79" t="s">
        <v>336</v>
      </c>
      <c r="G48" s="79">
        <v>552900.0</v>
      </c>
      <c r="H48" s="79">
        <v>553099.0</v>
      </c>
      <c r="I48" s="82" t="s">
        <v>149</v>
      </c>
      <c r="J48" s="82"/>
      <c r="K48" s="79"/>
      <c r="L48" s="84"/>
    </row>
    <row r="49" ht="12.75" customHeight="1">
      <c r="A49" s="75" t="s">
        <v>291</v>
      </c>
      <c r="B49" s="78" t="s">
        <v>342</v>
      </c>
      <c r="C49" s="83" t="s">
        <v>343</v>
      </c>
      <c r="D49" s="89">
        <v>0.0</v>
      </c>
      <c r="E49" s="79" t="s">
        <v>14</v>
      </c>
      <c r="F49" s="79" t="s">
        <v>344</v>
      </c>
      <c r="G49" s="79">
        <v>122100.0</v>
      </c>
      <c r="H49" s="79">
        <v>122299.0</v>
      </c>
      <c r="I49" s="82" t="s">
        <v>149</v>
      </c>
      <c r="J49" s="82"/>
      <c r="K49" s="83" t="s">
        <v>346</v>
      </c>
      <c r="L49" s="84"/>
    </row>
    <row r="50" ht="12.75" customHeight="1">
      <c r="A50" s="75" t="s">
        <v>291</v>
      </c>
      <c r="B50" s="78" t="s">
        <v>347</v>
      </c>
      <c r="C50" s="79" t="s">
        <v>348</v>
      </c>
      <c r="D50" s="80">
        <v>1.0</v>
      </c>
      <c r="E50" s="79" t="s">
        <v>14</v>
      </c>
      <c r="F50" s="79" t="s">
        <v>48</v>
      </c>
      <c r="G50" s="79">
        <v>102300.0</v>
      </c>
      <c r="H50" s="79">
        <v>102399.0</v>
      </c>
      <c r="I50" s="86" t="s">
        <v>349</v>
      </c>
      <c r="J50" s="86" t="s">
        <v>33</v>
      </c>
      <c r="K50" s="83" t="s">
        <v>350</v>
      </c>
      <c r="L50" s="84"/>
    </row>
    <row r="51">
      <c r="A51" s="75" t="s">
        <v>291</v>
      </c>
      <c r="B51" s="85" t="s">
        <v>352</v>
      </c>
      <c r="C51" s="82" t="s">
        <v>353</v>
      </c>
      <c r="D51" s="80">
        <v>1.0</v>
      </c>
      <c r="E51" s="82" t="s">
        <v>14</v>
      </c>
      <c r="F51" s="82" t="s">
        <v>355</v>
      </c>
      <c r="G51" s="82">
        <v>104500.0</v>
      </c>
      <c r="H51" s="82">
        <v>104699.0</v>
      </c>
      <c r="I51" s="86" t="s">
        <v>357</v>
      </c>
      <c r="J51" s="86" t="s">
        <v>33</v>
      </c>
      <c r="K51" s="86" t="s">
        <v>350</v>
      </c>
      <c r="L51" s="87"/>
    </row>
    <row r="52">
      <c r="A52" s="75" t="s">
        <v>291</v>
      </c>
      <c r="B52" s="85" t="s">
        <v>359</v>
      </c>
      <c r="C52" s="82" t="s">
        <v>360</v>
      </c>
      <c r="D52" s="80">
        <v>1.0</v>
      </c>
      <c r="E52" s="82" t="s">
        <v>14</v>
      </c>
      <c r="F52" s="82" t="s">
        <v>361</v>
      </c>
      <c r="G52" s="82">
        <v>109100.0</v>
      </c>
      <c r="H52" s="82">
        <v>109199.0</v>
      </c>
      <c r="I52" s="86" t="s">
        <v>363</v>
      </c>
      <c r="J52" s="86" t="s">
        <v>33</v>
      </c>
      <c r="K52" s="86" t="s">
        <v>364</v>
      </c>
      <c r="L52" s="87"/>
    </row>
    <row r="53">
      <c r="A53" s="75" t="s">
        <v>291</v>
      </c>
      <c r="B53" s="85" t="s">
        <v>366</v>
      </c>
      <c r="C53" s="82" t="s">
        <v>367</v>
      </c>
      <c r="D53" s="80">
        <v>1.0</v>
      </c>
      <c r="E53" s="82" t="s">
        <v>335</v>
      </c>
      <c r="F53" s="82" t="s">
        <v>371</v>
      </c>
      <c r="G53" s="82">
        <v>143600.0</v>
      </c>
      <c r="H53" s="82">
        <v>143999.0</v>
      </c>
      <c r="I53" s="82" t="s">
        <v>149</v>
      </c>
      <c r="J53" s="82" t="s">
        <v>372</v>
      </c>
      <c r="K53" s="82" t="s">
        <v>374</v>
      </c>
      <c r="L53" s="87"/>
    </row>
    <row r="54" ht="12.75" customHeight="1">
      <c r="A54" s="75" t="s">
        <v>291</v>
      </c>
      <c r="B54" s="78" t="s">
        <v>375</v>
      </c>
      <c r="C54" s="79" t="s">
        <v>376</v>
      </c>
      <c r="D54" s="80">
        <v>1.667</v>
      </c>
      <c r="E54" s="79" t="s">
        <v>335</v>
      </c>
      <c r="F54" s="79" t="s">
        <v>309</v>
      </c>
      <c r="G54" s="79">
        <v>102000.0</v>
      </c>
      <c r="H54" s="79">
        <v>102099.0</v>
      </c>
      <c r="I54" s="82" t="s">
        <v>149</v>
      </c>
      <c r="J54" s="82" t="s">
        <v>18</v>
      </c>
      <c r="K54" s="79" t="s">
        <v>381</v>
      </c>
      <c r="L54" s="84"/>
    </row>
    <row r="55" ht="12.75" customHeight="1">
      <c r="A55" s="75" t="s">
        <v>291</v>
      </c>
      <c r="B55" s="78" t="s">
        <v>383</v>
      </c>
      <c r="C55" s="79" t="s">
        <v>388</v>
      </c>
      <c r="D55" s="80">
        <v>3.444</v>
      </c>
      <c r="E55" s="79" t="s">
        <v>14</v>
      </c>
      <c r="F55" s="79" t="s">
        <v>304</v>
      </c>
      <c r="G55" s="79">
        <v>102100.0</v>
      </c>
      <c r="H55" s="79">
        <v>102299.0</v>
      </c>
      <c r="I55" s="86" t="s">
        <v>390</v>
      </c>
      <c r="J55" s="82" t="s">
        <v>18</v>
      </c>
      <c r="K55" s="83" t="s">
        <v>392</v>
      </c>
      <c r="L55" s="84"/>
    </row>
    <row r="56" ht="12.75" customHeight="1">
      <c r="A56" s="75" t="s">
        <v>291</v>
      </c>
      <c r="B56" s="78" t="s">
        <v>397</v>
      </c>
      <c r="C56" s="79" t="s">
        <v>398</v>
      </c>
      <c r="D56" s="80">
        <v>6.6</v>
      </c>
      <c r="E56" s="79" t="s">
        <v>14</v>
      </c>
      <c r="F56" s="79" t="s">
        <v>30</v>
      </c>
      <c r="G56" s="79">
        <v>108800.0</v>
      </c>
      <c r="H56" s="79">
        <v>108899.0</v>
      </c>
      <c r="I56" s="86" t="s">
        <v>400</v>
      </c>
      <c r="J56" s="86" t="s">
        <v>33</v>
      </c>
      <c r="K56" s="83" t="s">
        <v>401</v>
      </c>
      <c r="L56" s="84"/>
    </row>
    <row r="57" ht="12.75" customHeight="1">
      <c r="A57" s="75" t="s">
        <v>291</v>
      </c>
      <c r="B57" s="78" t="s">
        <v>402</v>
      </c>
      <c r="C57" s="79" t="s">
        <v>403</v>
      </c>
      <c r="D57" s="80">
        <v>12.625</v>
      </c>
      <c r="E57" s="79" t="s">
        <v>335</v>
      </c>
      <c r="F57" s="79" t="s">
        <v>404</v>
      </c>
      <c r="G57" s="79">
        <v>143400.0</v>
      </c>
      <c r="H57" s="79">
        <v>143499.0</v>
      </c>
      <c r="I57" s="82" t="s">
        <v>149</v>
      </c>
      <c r="J57" s="82" t="s">
        <v>151</v>
      </c>
      <c r="K57" s="79" t="s">
        <v>406</v>
      </c>
      <c r="L57" s="84"/>
    </row>
    <row r="58" ht="12.75" customHeight="1">
      <c r="A58" s="75" t="s">
        <v>291</v>
      </c>
      <c r="B58" s="78" t="s">
        <v>407</v>
      </c>
      <c r="C58" s="79" t="s">
        <v>408</v>
      </c>
      <c r="D58" s="80">
        <v>13.235</v>
      </c>
      <c r="E58" s="79" t="s">
        <v>14</v>
      </c>
      <c r="F58" s="79" t="s">
        <v>410</v>
      </c>
      <c r="G58" s="79">
        <v>113400.0</v>
      </c>
      <c r="H58" s="79">
        <v>113699.0</v>
      </c>
      <c r="I58" s="82" t="s">
        <v>149</v>
      </c>
      <c r="J58" s="82"/>
      <c r="K58" s="83" t="s">
        <v>414</v>
      </c>
      <c r="L58" s="84"/>
    </row>
    <row r="59" ht="12.75" customHeight="1">
      <c r="A59" s="75" t="s">
        <v>291</v>
      </c>
      <c r="B59" s="78" t="s">
        <v>416</v>
      </c>
      <c r="C59" s="79" t="s">
        <v>417</v>
      </c>
      <c r="D59" s="89">
        <v>18.0</v>
      </c>
      <c r="E59" s="79" t="s">
        <v>14</v>
      </c>
      <c r="F59" s="79" t="s">
        <v>420</v>
      </c>
      <c r="G59" s="79">
        <v>110800.0</v>
      </c>
      <c r="H59" s="79">
        <v>110999.0</v>
      </c>
      <c r="I59" s="82" t="s">
        <v>149</v>
      </c>
      <c r="J59" s="86" t="s">
        <v>422</v>
      </c>
      <c r="K59" s="83" t="s">
        <v>423</v>
      </c>
      <c r="L59" s="84"/>
    </row>
    <row r="60" ht="12.75" customHeight="1">
      <c r="A60" s="75" t="s">
        <v>291</v>
      </c>
      <c r="B60" s="78" t="s">
        <v>424</v>
      </c>
      <c r="C60" s="79" t="s">
        <v>425</v>
      </c>
      <c r="D60" s="80">
        <v>20.0</v>
      </c>
      <c r="E60" s="79" t="s">
        <v>14</v>
      </c>
      <c r="F60" s="79" t="s">
        <v>204</v>
      </c>
      <c r="G60" s="79">
        <v>119700.0</v>
      </c>
      <c r="H60" s="79">
        <v>119899.0</v>
      </c>
      <c r="I60" s="82" t="s">
        <v>149</v>
      </c>
      <c r="J60" s="82"/>
      <c r="K60" s="83" t="s">
        <v>414</v>
      </c>
      <c r="L60" s="84"/>
    </row>
    <row r="61" ht="12.75" customHeight="1">
      <c r="A61" s="75" t="s">
        <v>291</v>
      </c>
      <c r="B61" s="78" t="s">
        <v>430</v>
      </c>
      <c r="C61" s="79" t="s">
        <v>431</v>
      </c>
      <c r="D61" s="80">
        <v>24.0</v>
      </c>
      <c r="E61" s="79" t="s">
        <v>335</v>
      </c>
      <c r="F61" s="79" t="s">
        <v>433</v>
      </c>
      <c r="G61" s="79">
        <v>142300.0</v>
      </c>
      <c r="H61" s="79">
        <v>142499.0</v>
      </c>
      <c r="I61" s="82" t="s">
        <v>149</v>
      </c>
      <c r="J61" s="82" t="s">
        <v>435</v>
      </c>
      <c r="K61" s="79" t="s">
        <v>437</v>
      </c>
      <c r="L61" s="84"/>
    </row>
    <row r="62" ht="12.75" customHeight="1">
      <c r="A62" s="75" t="s">
        <v>291</v>
      </c>
      <c r="B62" s="78" t="s">
        <v>439</v>
      </c>
      <c r="C62" s="79" t="s">
        <v>440</v>
      </c>
      <c r="D62" s="80">
        <v>27.0</v>
      </c>
      <c r="E62" s="79" t="s">
        <v>335</v>
      </c>
      <c r="F62" s="79" t="s">
        <v>23</v>
      </c>
      <c r="G62" s="79">
        <v>553600.0</v>
      </c>
      <c r="H62" s="79">
        <v>554099.0</v>
      </c>
      <c r="I62" s="82" t="s">
        <v>149</v>
      </c>
      <c r="J62" s="82" t="s">
        <v>445</v>
      </c>
      <c r="K62" s="79" t="s">
        <v>446</v>
      </c>
      <c r="L62" s="84"/>
    </row>
    <row r="63" ht="12.75" customHeight="1">
      <c r="A63" s="75" t="s">
        <v>291</v>
      </c>
      <c r="B63" s="78" t="s">
        <v>448</v>
      </c>
      <c r="C63" s="79" t="s">
        <v>449</v>
      </c>
      <c r="D63" s="80">
        <v>28.111</v>
      </c>
      <c r="E63" s="79" t="s">
        <v>14</v>
      </c>
      <c r="F63" s="79" t="s">
        <v>23</v>
      </c>
      <c r="G63" s="79">
        <v>137500.0</v>
      </c>
      <c r="H63" s="79">
        <v>137799.0</v>
      </c>
      <c r="I63" s="82" t="s">
        <v>149</v>
      </c>
      <c r="J63" s="82" t="s">
        <v>151</v>
      </c>
      <c r="K63" s="79" t="s">
        <v>454</v>
      </c>
      <c r="L63" s="84"/>
    </row>
    <row r="64" ht="12.75" customHeight="1">
      <c r="A64" s="75" t="s">
        <v>291</v>
      </c>
      <c r="B64" s="78" t="s">
        <v>457</v>
      </c>
      <c r="C64" s="79" t="s">
        <v>458</v>
      </c>
      <c r="D64" s="80">
        <v>28.294</v>
      </c>
      <c r="E64" s="79" t="s">
        <v>14</v>
      </c>
      <c r="F64" s="79" t="s">
        <v>460</v>
      </c>
      <c r="G64" s="79">
        <v>137200.0</v>
      </c>
      <c r="H64" s="79">
        <v>137499.0</v>
      </c>
      <c r="I64" s="82" t="s">
        <v>149</v>
      </c>
      <c r="J64" s="82" t="s">
        <v>461</v>
      </c>
      <c r="K64" s="79" t="s">
        <v>462</v>
      </c>
      <c r="L64" s="84"/>
    </row>
    <row r="65" ht="12.75" customHeight="1">
      <c r="A65" s="75" t="s">
        <v>291</v>
      </c>
      <c r="B65" s="78" t="s">
        <v>464</v>
      </c>
      <c r="C65" s="79" t="s">
        <v>467</v>
      </c>
      <c r="D65" s="80">
        <v>29.0</v>
      </c>
      <c r="E65" s="79" t="s">
        <v>14</v>
      </c>
      <c r="F65" s="79" t="s">
        <v>469</v>
      </c>
      <c r="G65" s="79">
        <v>119600.0</v>
      </c>
      <c r="H65" s="79">
        <v>119699.0</v>
      </c>
      <c r="I65" s="82" t="s">
        <v>149</v>
      </c>
      <c r="J65" s="82"/>
      <c r="K65" s="83" t="s">
        <v>470</v>
      </c>
      <c r="L65" s="84"/>
    </row>
    <row r="66" ht="12.75" customHeight="1">
      <c r="A66" s="75" t="s">
        <v>291</v>
      </c>
      <c r="B66" s="78" t="s">
        <v>472</v>
      </c>
      <c r="C66" s="79" t="s">
        <v>473</v>
      </c>
      <c r="D66" s="80">
        <v>29.897</v>
      </c>
      <c r="E66" s="79" t="s">
        <v>14</v>
      </c>
      <c r="F66" s="79" t="s">
        <v>474</v>
      </c>
      <c r="G66" s="79">
        <v>111500.0</v>
      </c>
      <c r="H66" s="79">
        <v>111699.0</v>
      </c>
      <c r="I66" s="82" t="s">
        <v>149</v>
      </c>
      <c r="J66" s="82"/>
      <c r="K66" s="83" t="s">
        <v>476</v>
      </c>
      <c r="L66" s="84"/>
    </row>
    <row r="67" ht="12.75" customHeight="1">
      <c r="A67" s="75" t="s">
        <v>291</v>
      </c>
      <c r="B67" s="78" t="s">
        <v>478</v>
      </c>
      <c r="C67" s="79" t="s">
        <v>479</v>
      </c>
      <c r="D67" s="80">
        <v>33.0</v>
      </c>
      <c r="E67" s="79" t="s">
        <v>14</v>
      </c>
      <c r="F67" s="79" t="s">
        <v>482</v>
      </c>
      <c r="G67" s="79">
        <v>116000.0</v>
      </c>
      <c r="H67" s="79">
        <v>116199.0</v>
      </c>
      <c r="I67" s="82" t="s">
        <v>149</v>
      </c>
      <c r="J67" s="82"/>
      <c r="K67" s="83" t="s">
        <v>485</v>
      </c>
      <c r="L67" s="84"/>
    </row>
    <row r="68" ht="12.75" customHeight="1">
      <c r="A68" s="75" t="s">
        <v>291</v>
      </c>
      <c r="B68" s="78" t="s">
        <v>486</v>
      </c>
      <c r="C68" s="79" t="s">
        <v>487</v>
      </c>
      <c r="D68" s="80">
        <v>33.0</v>
      </c>
      <c r="E68" s="79" t="s">
        <v>335</v>
      </c>
      <c r="F68" s="79" t="s">
        <v>336</v>
      </c>
      <c r="G68" s="79">
        <v>552300.0</v>
      </c>
      <c r="H68" s="79">
        <v>552699.0</v>
      </c>
      <c r="I68" s="82" t="s">
        <v>149</v>
      </c>
      <c r="J68" s="82"/>
      <c r="K68" s="79"/>
      <c r="L68" s="84"/>
    </row>
    <row r="69" ht="12.75" customHeight="1">
      <c r="A69" s="98" t="s">
        <v>0</v>
      </c>
      <c r="B69" s="100" t="s">
        <v>492</v>
      </c>
      <c r="C69" s="103" t="s">
        <v>496</v>
      </c>
      <c r="D69" s="104">
        <v>0.0</v>
      </c>
      <c r="E69" s="103" t="s">
        <v>14</v>
      </c>
      <c r="F69" s="103" t="s">
        <v>502</v>
      </c>
      <c r="G69" s="103">
        <v>5500.0</v>
      </c>
      <c r="H69" s="103">
        <v>5599.0</v>
      </c>
      <c r="I69" s="106" t="s">
        <v>149</v>
      </c>
      <c r="J69" s="106"/>
      <c r="K69" s="107" t="s">
        <v>508</v>
      </c>
      <c r="L69" s="108"/>
    </row>
    <row r="70" ht="12.75" customHeight="1">
      <c r="A70" s="98" t="s">
        <v>0</v>
      </c>
      <c r="B70" s="100" t="s">
        <v>515</v>
      </c>
      <c r="C70" s="103" t="s">
        <v>516</v>
      </c>
      <c r="D70" s="104">
        <v>0.0</v>
      </c>
      <c r="E70" s="103" t="s">
        <v>14</v>
      </c>
      <c r="F70" s="103" t="s">
        <v>502</v>
      </c>
      <c r="G70" s="103">
        <v>5600.0</v>
      </c>
      <c r="H70" s="103">
        <v>5699.0</v>
      </c>
      <c r="I70" s="106" t="s">
        <v>149</v>
      </c>
      <c r="J70" s="106"/>
      <c r="K70" s="107" t="s">
        <v>508</v>
      </c>
      <c r="L70" s="108"/>
    </row>
    <row r="71" ht="12.75" customHeight="1">
      <c r="A71" s="98" t="s">
        <v>0</v>
      </c>
      <c r="B71" s="100" t="s">
        <v>519</v>
      </c>
      <c r="C71" s="103" t="s">
        <v>520</v>
      </c>
      <c r="D71" s="104">
        <v>0.0</v>
      </c>
      <c r="E71" s="103" t="s">
        <v>14</v>
      </c>
      <c r="F71" s="103" t="s">
        <v>523</v>
      </c>
      <c r="G71" s="103">
        <v>5800.0</v>
      </c>
      <c r="H71" s="103">
        <v>5899.0</v>
      </c>
      <c r="I71" s="106" t="s">
        <v>149</v>
      </c>
      <c r="J71" s="106"/>
      <c r="K71" s="107" t="s">
        <v>508</v>
      </c>
      <c r="L71" s="108"/>
    </row>
    <row r="72" ht="12.75" customHeight="1">
      <c r="A72" s="98" t="s">
        <v>0</v>
      </c>
      <c r="B72" s="100" t="s">
        <v>526</v>
      </c>
      <c r="C72" s="103" t="s">
        <v>527</v>
      </c>
      <c r="D72" s="104">
        <v>0.0</v>
      </c>
      <c r="E72" s="103" t="s">
        <v>14</v>
      </c>
      <c r="F72" s="103" t="s">
        <v>529</v>
      </c>
      <c r="G72" s="103">
        <v>7100.0</v>
      </c>
      <c r="H72" s="103">
        <v>7199.0</v>
      </c>
      <c r="I72" s="106" t="s">
        <v>149</v>
      </c>
      <c r="J72" s="106"/>
      <c r="K72" s="107" t="s">
        <v>508</v>
      </c>
      <c r="L72" s="108"/>
    </row>
    <row r="73" ht="12.75" customHeight="1">
      <c r="A73" s="98" t="s">
        <v>0</v>
      </c>
      <c r="B73" s="100" t="s">
        <v>531</v>
      </c>
      <c r="C73" s="103" t="s">
        <v>532</v>
      </c>
      <c r="D73" s="104">
        <v>0.0</v>
      </c>
      <c r="E73" s="103" t="s">
        <v>14</v>
      </c>
      <c r="F73" s="103" t="s">
        <v>529</v>
      </c>
      <c r="G73" s="103">
        <v>7300.0</v>
      </c>
      <c r="H73" s="103">
        <v>7399.0</v>
      </c>
      <c r="I73" s="106" t="s">
        <v>149</v>
      </c>
      <c r="J73" s="106"/>
      <c r="K73" s="107" t="s">
        <v>508</v>
      </c>
      <c r="L73" s="108"/>
    </row>
    <row r="74" ht="12.75" customHeight="1">
      <c r="A74" s="98" t="s">
        <v>0</v>
      </c>
      <c r="B74" s="100" t="s">
        <v>536</v>
      </c>
      <c r="C74" s="103" t="s">
        <v>537</v>
      </c>
      <c r="D74" s="104">
        <v>0.0</v>
      </c>
      <c r="E74" s="103" t="s">
        <v>14</v>
      </c>
      <c r="F74" s="103" t="s">
        <v>539</v>
      </c>
      <c r="G74" s="103">
        <v>8000.0</v>
      </c>
      <c r="H74" s="103">
        <v>8099.0</v>
      </c>
      <c r="I74" s="106" t="s">
        <v>149</v>
      </c>
      <c r="J74" s="106"/>
      <c r="K74" s="107" t="s">
        <v>508</v>
      </c>
      <c r="L74" s="108"/>
    </row>
    <row r="75" ht="12.75" customHeight="1">
      <c r="A75" s="98" t="s">
        <v>0</v>
      </c>
      <c r="B75" s="100" t="s">
        <v>545</v>
      </c>
      <c r="C75" s="103" t="s">
        <v>547</v>
      </c>
      <c r="D75" s="104">
        <v>0.0</v>
      </c>
      <c r="E75" s="103" t="s">
        <v>14</v>
      </c>
      <c r="F75" s="103" t="s">
        <v>549</v>
      </c>
      <c r="G75" s="103">
        <v>24600.0</v>
      </c>
      <c r="H75" s="103">
        <v>24699.0</v>
      </c>
      <c r="I75" s="106" t="s">
        <v>149</v>
      </c>
      <c r="J75" s="106"/>
      <c r="K75" s="107" t="s">
        <v>508</v>
      </c>
      <c r="L75" s="108"/>
    </row>
    <row r="76" ht="12.75" customHeight="1">
      <c r="A76" s="98" t="s">
        <v>0</v>
      </c>
      <c r="B76" s="100" t="s">
        <v>553</v>
      </c>
      <c r="C76" s="103" t="s">
        <v>554</v>
      </c>
      <c r="D76" s="104">
        <v>0.0</v>
      </c>
      <c r="E76" s="103" t="s">
        <v>14</v>
      </c>
      <c r="F76" s="103" t="s">
        <v>556</v>
      </c>
      <c r="G76" s="103">
        <v>26800.0</v>
      </c>
      <c r="H76" s="103">
        <v>26899.0</v>
      </c>
      <c r="I76" s="106" t="s">
        <v>149</v>
      </c>
      <c r="J76" s="106"/>
      <c r="K76" s="107" t="s">
        <v>508</v>
      </c>
      <c r="L76" s="108"/>
    </row>
    <row r="77" ht="12.75" customHeight="1">
      <c r="A77" s="98" t="s">
        <v>0</v>
      </c>
      <c r="B77" s="100" t="s">
        <v>562</v>
      </c>
      <c r="C77" s="103" t="s">
        <v>563</v>
      </c>
      <c r="D77" s="104">
        <v>0.0</v>
      </c>
      <c r="E77" s="103" t="s">
        <v>14</v>
      </c>
      <c r="F77" s="103" t="s">
        <v>565</v>
      </c>
      <c r="G77" s="103">
        <v>27200.0</v>
      </c>
      <c r="H77" s="103">
        <v>27299.0</v>
      </c>
      <c r="I77" s="106" t="s">
        <v>149</v>
      </c>
      <c r="J77" s="106"/>
      <c r="K77" s="107" t="s">
        <v>508</v>
      </c>
      <c r="L77" s="108"/>
    </row>
    <row r="78" ht="12.75" customHeight="1">
      <c r="A78" s="98" t="s">
        <v>0</v>
      </c>
      <c r="B78" s="100" t="s">
        <v>570</v>
      </c>
      <c r="C78" s="103" t="s">
        <v>572</v>
      </c>
      <c r="D78" s="104">
        <v>0.0</v>
      </c>
      <c r="E78" s="103" t="s">
        <v>14</v>
      </c>
      <c r="F78" s="103" t="s">
        <v>573</v>
      </c>
      <c r="G78" s="103">
        <v>27600.0</v>
      </c>
      <c r="H78" s="103">
        <v>27699.0</v>
      </c>
      <c r="I78" s="106" t="s">
        <v>149</v>
      </c>
      <c r="J78" s="106"/>
      <c r="K78" s="107" t="s">
        <v>508</v>
      </c>
      <c r="L78" s="108"/>
    </row>
    <row r="79" ht="12.75" customHeight="1">
      <c r="A79" s="98" t="s">
        <v>0</v>
      </c>
      <c r="B79" s="100" t="s">
        <v>575</v>
      </c>
      <c r="C79" s="103" t="s">
        <v>576</v>
      </c>
      <c r="D79" s="104">
        <v>0.0</v>
      </c>
      <c r="E79" s="103" t="s">
        <v>14</v>
      </c>
      <c r="F79" s="103" t="s">
        <v>577</v>
      </c>
      <c r="G79" s="103">
        <v>28500.0</v>
      </c>
      <c r="H79" s="103">
        <v>28599.0</v>
      </c>
      <c r="I79" s="106" t="s">
        <v>149</v>
      </c>
      <c r="J79" s="106"/>
      <c r="K79" s="107" t="s">
        <v>508</v>
      </c>
      <c r="L79" s="108"/>
    </row>
    <row r="80" ht="12.75" customHeight="1">
      <c r="A80" s="98" t="s">
        <v>0</v>
      </c>
      <c r="B80" s="100" t="s">
        <v>581</v>
      </c>
      <c r="C80" s="103" t="s">
        <v>582</v>
      </c>
      <c r="D80" s="104">
        <v>0.0</v>
      </c>
      <c r="E80" s="103" t="s">
        <v>14</v>
      </c>
      <c r="F80" s="103" t="s">
        <v>586</v>
      </c>
      <c r="G80" s="103">
        <v>30200.0</v>
      </c>
      <c r="H80" s="103">
        <v>30299.0</v>
      </c>
      <c r="I80" s="106" t="s">
        <v>149</v>
      </c>
      <c r="J80" s="106"/>
      <c r="K80" s="107" t="s">
        <v>508</v>
      </c>
      <c r="L80" s="108"/>
    </row>
    <row r="81" ht="12.75" customHeight="1">
      <c r="A81" s="98" t="s">
        <v>0</v>
      </c>
      <c r="B81" s="100" t="s">
        <v>589</v>
      </c>
      <c r="C81" s="103" t="s">
        <v>590</v>
      </c>
      <c r="D81" s="104">
        <v>0.0</v>
      </c>
      <c r="E81" s="103" t="s">
        <v>14</v>
      </c>
      <c r="F81" s="103" t="s">
        <v>586</v>
      </c>
      <c r="G81" s="103">
        <v>30300.0</v>
      </c>
      <c r="H81" s="103">
        <v>30399.0</v>
      </c>
      <c r="I81" s="106" t="s">
        <v>149</v>
      </c>
      <c r="J81" s="106"/>
      <c r="K81" s="107" t="s">
        <v>508</v>
      </c>
      <c r="L81" s="108"/>
    </row>
    <row r="82" ht="12.75" customHeight="1">
      <c r="A82" s="98" t="s">
        <v>0</v>
      </c>
      <c r="B82" s="100" t="s">
        <v>613</v>
      </c>
      <c r="C82" s="103" t="s">
        <v>615</v>
      </c>
      <c r="D82" s="104">
        <v>0.0</v>
      </c>
      <c r="E82" s="103" t="s">
        <v>14</v>
      </c>
      <c r="F82" s="103" t="s">
        <v>549</v>
      </c>
      <c r="G82" s="103">
        <v>32000.0</v>
      </c>
      <c r="H82" s="103">
        <v>32099.0</v>
      </c>
      <c r="I82" s="106" t="s">
        <v>149</v>
      </c>
      <c r="J82" s="106"/>
      <c r="K82" s="107" t="s">
        <v>508</v>
      </c>
      <c r="L82" s="108"/>
    </row>
    <row r="83">
      <c r="A83" s="98" t="s">
        <v>0</v>
      </c>
      <c r="B83" s="100" t="s">
        <v>616</v>
      </c>
      <c r="C83" s="103" t="s">
        <v>617</v>
      </c>
      <c r="D83" s="104">
        <v>0.0</v>
      </c>
      <c r="E83" s="103" t="s">
        <v>14</v>
      </c>
      <c r="F83" s="103" t="s">
        <v>549</v>
      </c>
      <c r="G83" s="103">
        <v>32100.0</v>
      </c>
      <c r="H83" s="103">
        <v>32199.0</v>
      </c>
      <c r="I83" s="106" t="s">
        <v>149</v>
      </c>
      <c r="J83" s="106"/>
      <c r="K83" s="107" t="s">
        <v>508</v>
      </c>
      <c r="L83" s="108"/>
    </row>
    <row r="84" ht="12.75" customHeight="1">
      <c r="A84" s="98" t="s">
        <v>0</v>
      </c>
      <c r="B84" s="100" t="s">
        <v>621</v>
      </c>
      <c r="C84" s="103" t="s">
        <v>622</v>
      </c>
      <c r="D84" s="104">
        <v>0.0</v>
      </c>
      <c r="E84" s="103" t="s">
        <v>14</v>
      </c>
      <c r="F84" s="103" t="s">
        <v>624</v>
      </c>
      <c r="G84" s="103">
        <v>55600.0</v>
      </c>
      <c r="H84" s="103">
        <v>55699.0</v>
      </c>
      <c r="I84" s="106" t="s">
        <v>149</v>
      </c>
      <c r="J84" s="106"/>
      <c r="K84" s="107" t="s">
        <v>508</v>
      </c>
      <c r="L84" s="108"/>
    </row>
    <row r="85" ht="12.75" customHeight="1">
      <c r="A85" s="98" t="s">
        <v>0</v>
      </c>
      <c r="B85" s="7" t="s">
        <v>627</v>
      </c>
      <c r="C85" s="9" t="s">
        <v>629</v>
      </c>
      <c r="D85" s="10">
        <v>0.0</v>
      </c>
      <c r="E85" s="9" t="s">
        <v>14</v>
      </c>
      <c r="F85" s="9" t="s">
        <v>631</v>
      </c>
      <c r="G85" s="9">
        <v>2600.0</v>
      </c>
      <c r="H85" s="9">
        <v>2699.0</v>
      </c>
      <c r="I85" s="12" t="s">
        <v>633</v>
      </c>
      <c r="J85" s="12" t="s">
        <v>39</v>
      </c>
      <c r="K85" s="20" t="s">
        <v>636</v>
      </c>
      <c r="L85" s="14"/>
    </row>
    <row r="86" ht="12.75" customHeight="1">
      <c r="A86" s="98" t="s">
        <v>0</v>
      </c>
      <c r="B86" s="7" t="s">
        <v>639</v>
      </c>
      <c r="C86" s="9" t="s">
        <v>640</v>
      </c>
      <c r="D86" s="10">
        <v>0.0</v>
      </c>
      <c r="E86" s="9" t="s">
        <v>642</v>
      </c>
      <c r="F86" s="9" t="s">
        <v>643</v>
      </c>
      <c r="G86" s="9">
        <v>3200.0</v>
      </c>
      <c r="H86" s="9">
        <v>3299.0</v>
      </c>
      <c r="I86" s="12" t="s">
        <v>644</v>
      </c>
      <c r="J86" s="12" t="s">
        <v>646</v>
      </c>
      <c r="K86" s="20" t="s">
        <v>647</v>
      </c>
      <c r="L86" s="14"/>
    </row>
    <row r="87" ht="12.75" customHeight="1">
      <c r="A87" s="98" t="s">
        <v>0</v>
      </c>
      <c r="B87" s="78" t="s">
        <v>649</v>
      </c>
      <c r="C87" s="79" t="s">
        <v>650</v>
      </c>
      <c r="D87" s="80">
        <v>1.2</v>
      </c>
      <c r="E87" s="79" t="s">
        <v>14</v>
      </c>
      <c r="F87" s="79" t="s">
        <v>653</v>
      </c>
      <c r="G87" s="79">
        <v>2300.0</v>
      </c>
      <c r="H87" s="79">
        <v>2399.0</v>
      </c>
      <c r="I87" s="82" t="s">
        <v>149</v>
      </c>
      <c r="J87" s="82" t="s">
        <v>422</v>
      </c>
      <c r="K87" s="79" t="s">
        <v>655</v>
      </c>
      <c r="L87" s="84"/>
    </row>
    <row r="88" ht="12.75" customHeight="1">
      <c r="A88" s="98" t="s">
        <v>0</v>
      </c>
      <c r="B88" s="100" t="s">
        <v>657</v>
      </c>
      <c r="C88" s="103" t="s">
        <v>658</v>
      </c>
      <c r="D88" s="104">
        <v>2.25</v>
      </c>
      <c r="E88" s="103" t="s">
        <v>14</v>
      </c>
      <c r="F88" s="103" t="s">
        <v>659</v>
      </c>
      <c r="G88" s="103">
        <v>6600.0</v>
      </c>
      <c r="H88" s="103">
        <v>6699.0</v>
      </c>
      <c r="I88" s="106" t="s">
        <v>149</v>
      </c>
      <c r="J88" s="106"/>
      <c r="K88" s="107" t="s">
        <v>508</v>
      </c>
      <c r="L88" s="108"/>
    </row>
    <row r="89" ht="12.75" customHeight="1">
      <c r="A89" s="98" t="s">
        <v>0</v>
      </c>
      <c r="B89" s="100" t="s">
        <v>660</v>
      </c>
      <c r="C89" s="103" t="s">
        <v>662</v>
      </c>
      <c r="D89" s="104">
        <v>2.6</v>
      </c>
      <c r="E89" s="103" t="s">
        <v>14</v>
      </c>
      <c r="F89" s="103" t="s">
        <v>663</v>
      </c>
      <c r="G89" s="103">
        <v>6000.0</v>
      </c>
      <c r="H89" s="103">
        <v>6099.0</v>
      </c>
      <c r="I89" s="106" t="s">
        <v>149</v>
      </c>
      <c r="J89" s="106"/>
      <c r="K89" s="107" t="s">
        <v>508</v>
      </c>
      <c r="L89" s="108"/>
    </row>
    <row r="90" ht="12.75" customHeight="1">
      <c r="A90" s="98" t="s">
        <v>0</v>
      </c>
      <c r="B90" s="100" t="s">
        <v>666</v>
      </c>
      <c r="C90" s="103" t="s">
        <v>667</v>
      </c>
      <c r="D90" s="104">
        <v>2.692</v>
      </c>
      <c r="E90" s="103" t="s">
        <v>14</v>
      </c>
      <c r="F90" s="103" t="s">
        <v>668</v>
      </c>
      <c r="G90" s="103">
        <v>29600.0</v>
      </c>
      <c r="H90" s="103">
        <v>29699.0</v>
      </c>
      <c r="I90" s="106" t="s">
        <v>149</v>
      </c>
      <c r="J90" s="106"/>
      <c r="K90" s="107" t="s">
        <v>508</v>
      </c>
      <c r="L90" s="108"/>
    </row>
    <row r="91" ht="12.75" customHeight="1">
      <c r="A91" s="98" t="s">
        <v>0</v>
      </c>
      <c r="B91" s="100" t="s">
        <v>670</v>
      </c>
      <c r="C91" s="103" t="s">
        <v>671</v>
      </c>
      <c r="D91" s="104">
        <v>3.0</v>
      </c>
      <c r="E91" s="103" t="s">
        <v>14</v>
      </c>
      <c r="F91" s="103" t="s">
        <v>673</v>
      </c>
      <c r="G91" s="103">
        <v>18700.0</v>
      </c>
      <c r="H91" s="103">
        <v>18799.0</v>
      </c>
      <c r="I91" s="106" t="s">
        <v>149</v>
      </c>
      <c r="J91" s="106"/>
      <c r="K91" s="107" t="s">
        <v>508</v>
      </c>
      <c r="L91" s="108"/>
    </row>
    <row r="92" ht="12.75" customHeight="1">
      <c r="A92" s="98" t="s">
        <v>0</v>
      </c>
      <c r="B92" s="7" t="s">
        <v>674</v>
      </c>
      <c r="C92" s="9" t="s">
        <v>675</v>
      </c>
      <c r="D92" s="10">
        <v>3.0</v>
      </c>
      <c r="E92" s="9" t="s">
        <v>14</v>
      </c>
      <c r="F92" s="9" t="s">
        <v>676</v>
      </c>
      <c r="G92" s="9">
        <v>2800.0</v>
      </c>
      <c r="H92" s="9">
        <v>2899.0</v>
      </c>
      <c r="I92" s="12" t="s">
        <v>149</v>
      </c>
      <c r="J92" s="12" t="s">
        <v>678</v>
      </c>
      <c r="K92" s="9" t="s">
        <v>680</v>
      </c>
      <c r="L92" s="14"/>
    </row>
    <row r="93" ht="12.75" customHeight="1">
      <c r="A93" s="98" t="s">
        <v>0</v>
      </c>
      <c r="B93" s="100" t="s">
        <v>682</v>
      </c>
      <c r="C93" s="103" t="s">
        <v>684</v>
      </c>
      <c r="D93" s="104">
        <v>3.154</v>
      </c>
      <c r="E93" s="103" t="s">
        <v>14</v>
      </c>
      <c r="F93" s="103" t="s">
        <v>685</v>
      </c>
      <c r="G93" s="103">
        <v>23400.0</v>
      </c>
      <c r="H93" s="103">
        <v>23499.0</v>
      </c>
      <c r="I93" s="106" t="s">
        <v>149</v>
      </c>
      <c r="J93" s="106"/>
      <c r="K93" s="107" t="s">
        <v>508</v>
      </c>
      <c r="L93" s="108"/>
    </row>
    <row r="94" ht="12.75" customHeight="1">
      <c r="A94" s="98" t="s">
        <v>0</v>
      </c>
      <c r="B94" s="100" t="s">
        <v>687</v>
      </c>
      <c r="C94" s="103" t="s">
        <v>688</v>
      </c>
      <c r="D94" s="104">
        <v>3.286</v>
      </c>
      <c r="E94" s="103" t="s">
        <v>14</v>
      </c>
      <c r="F94" s="103" t="s">
        <v>676</v>
      </c>
      <c r="G94" s="103">
        <v>3700.0</v>
      </c>
      <c r="H94" s="103">
        <v>3799.0</v>
      </c>
      <c r="I94" s="106" t="s">
        <v>149</v>
      </c>
      <c r="J94" s="106"/>
      <c r="K94" s="107" t="s">
        <v>508</v>
      </c>
      <c r="L94" s="108"/>
    </row>
    <row r="95" ht="12.75" customHeight="1">
      <c r="A95" s="98" t="s">
        <v>0</v>
      </c>
      <c r="B95" s="100" t="s">
        <v>691</v>
      </c>
      <c r="C95" s="103" t="s">
        <v>692</v>
      </c>
      <c r="D95" s="104">
        <v>3.667</v>
      </c>
      <c r="E95" s="103" t="s">
        <v>14</v>
      </c>
      <c r="F95" s="103" t="s">
        <v>693</v>
      </c>
      <c r="G95" s="103">
        <v>18600.0</v>
      </c>
      <c r="H95" s="103">
        <v>18699.0</v>
      </c>
      <c r="I95" s="106" t="s">
        <v>149</v>
      </c>
      <c r="J95" s="106"/>
      <c r="K95" s="107" t="s">
        <v>508</v>
      </c>
      <c r="L95" s="108"/>
    </row>
    <row r="96" ht="12.75" customHeight="1">
      <c r="A96" s="98" t="s">
        <v>0</v>
      </c>
      <c r="B96" s="100" t="s">
        <v>695</v>
      </c>
      <c r="C96" s="103" t="s">
        <v>696</v>
      </c>
      <c r="D96" s="104">
        <v>3.706</v>
      </c>
      <c r="E96" s="103" t="s">
        <v>14</v>
      </c>
      <c r="F96" s="103" t="s">
        <v>698</v>
      </c>
      <c r="G96" s="103">
        <v>10000.0</v>
      </c>
      <c r="H96" s="103">
        <v>10099.0</v>
      </c>
      <c r="I96" s="106" t="s">
        <v>149</v>
      </c>
      <c r="J96" s="106"/>
      <c r="K96" s="107" t="s">
        <v>508</v>
      </c>
      <c r="L96" s="108"/>
    </row>
    <row r="97" ht="12.75" customHeight="1">
      <c r="A97" s="98" t="s">
        <v>0</v>
      </c>
      <c r="B97" s="7" t="s">
        <v>700</v>
      </c>
      <c r="C97" s="9" t="s">
        <v>701</v>
      </c>
      <c r="D97" s="10">
        <v>4.091</v>
      </c>
      <c r="E97" s="9" t="s">
        <v>14</v>
      </c>
      <c r="F97" s="9" t="s">
        <v>702</v>
      </c>
      <c r="G97" s="9">
        <v>16900.0</v>
      </c>
      <c r="H97" s="9">
        <v>16999.0</v>
      </c>
      <c r="I97" s="12" t="s">
        <v>149</v>
      </c>
      <c r="J97" s="18" t="s">
        <v>704</v>
      </c>
      <c r="K97" s="20" t="s">
        <v>706</v>
      </c>
      <c r="L97" s="14"/>
    </row>
    <row r="98" ht="12.75" customHeight="1">
      <c r="A98" s="98" t="s">
        <v>0</v>
      </c>
      <c r="B98" s="100" t="s">
        <v>708</v>
      </c>
      <c r="C98" s="103" t="s">
        <v>709</v>
      </c>
      <c r="D98" s="104">
        <v>4.474</v>
      </c>
      <c r="E98" s="103" t="s">
        <v>14</v>
      </c>
      <c r="F98" s="103" t="s">
        <v>549</v>
      </c>
      <c r="G98" s="103">
        <v>30600.0</v>
      </c>
      <c r="H98" s="103">
        <v>30699.0</v>
      </c>
      <c r="I98" s="106" t="s">
        <v>149</v>
      </c>
      <c r="J98" s="106"/>
      <c r="K98" s="107" t="s">
        <v>508</v>
      </c>
      <c r="L98" s="108"/>
    </row>
    <row r="99" ht="12.75" customHeight="1">
      <c r="A99" s="98" t="s">
        <v>0</v>
      </c>
      <c r="B99" s="100" t="s">
        <v>711</v>
      </c>
      <c r="C99" s="103" t="s">
        <v>713</v>
      </c>
      <c r="D99" s="104">
        <v>4.5</v>
      </c>
      <c r="E99" s="103" t="s">
        <v>14</v>
      </c>
      <c r="F99" s="103" t="s">
        <v>698</v>
      </c>
      <c r="G99" s="103">
        <v>20000.0</v>
      </c>
      <c r="H99" s="103">
        <v>20099.0</v>
      </c>
      <c r="I99" s="106" t="s">
        <v>149</v>
      </c>
      <c r="J99" s="106"/>
      <c r="K99" s="107" t="s">
        <v>508</v>
      </c>
      <c r="L99" s="108"/>
    </row>
    <row r="100">
      <c r="A100" s="98" t="s">
        <v>0</v>
      </c>
      <c r="B100" s="100" t="s">
        <v>716</v>
      </c>
      <c r="C100" s="103" t="s">
        <v>717</v>
      </c>
      <c r="D100" s="104">
        <v>4.889</v>
      </c>
      <c r="E100" s="103" t="s">
        <v>14</v>
      </c>
      <c r="F100" s="103" t="s">
        <v>549</v>
      </c>
      <c r="G100" s="103">
        <v>26300.0</v>
      </c>
      <c r="H100" s="103">
        <v>26399.0</v>
      </c>
      <c r="I100" s="106" t="s">
        <v>149</v>
      </c>
      <c r="J100" s="106"/>
      <c r="K100" s="107" t="s">
        <v>508</v>
      </c>
      <c r="L100" s="108"/>
    </row>
    <row r="101" ht="12.75" customHeight="1">
      <c r="A101" s="98" t="s">
        <v>0</v>
      </c>
      <c r="B101" s="7" t="s">
        <v>721</v>
      </c>
      <c r="C101" s="9" t="s">
        <v>723</v>
      </c>
      <c r="D101" s="10">
        <v>4.895</v>
      </c>
      <c r="E101" s="9" t="s">
        <v>642</v>
      </c>
      <c r="F101" s="9" t="s">
        <v>725</v>
      </c>
      <c r="G101" s="9">
        <v>500.0</v>
      </c>
      <c r="H101" s="9">
        <v>599.0</v>
      </c>
      <c r="I101" s="12" t="s">
        <v>149</v>
      </c>
      <c r="J101" s="12" t="s">
        <v>97</v>
      </c>
      <c r="K101" s="9" t="s">
        <v>726</v>
      </c>
      <c r="L101" s="14"/>
    </row>
    <row r="102" ht="12.75" customHeight="1">
      <c r="A102" s="98" t="s">
        <v>0</v>
      </c>
      <c r="B102" s="100" t="s">
        <v>727</v>
      </c>
      <c r="C102" s="103" t="s">
        <v>729</v>
      </c>
      <c r="D102" s="104">
        <v>5.062</v>
      </c>
      <c r="E102" s="103" t="s">
        <v>14</v>
      </c>
      <c r="F102" s="103" t="s">
        <v>732</v>
      </c>
      <c r="G102" s="103">
        <v>28100.0</v>
      </c>
      <c r="H102" s="103">
        <v>28199.0</v>
      </c>
      <c r="I102" s="106" t="s">
        <v>149</v>
      </c>
      <c r="J102" s="106"/>
      <c r="K102" s="107" t="s">
        <v>508</v>
      </c>
      <c r="L102" s="108"/>
    </row>
    <row r="103" ht="12.75" customHeight="1">
      <c r="A103" s="98" t="s">
        <v>0</v>
      </c>
      <c r="B103" s="100" t="s">
        <v>737</v>
      </c>
      <c r="C103" s="103" t="s">
        <v>738</v>
      </c>
      <c r="D103" s="104">
        <v>5.14</v>
      </c>
      <c r="E103" s="103" t="s">
        <v>14</v>
      </c>
      <c r="F103" s="103" t="s">
        <v>740</v>
      </c>
      <c r="G103" s="103">
        <v>11500.0</v>
      </c>
      <c r="H103" s="103">
        <v>11599.0</v>
      </c>
      <c r="I103" s="106" t="s">
        <v>149</v>
      </c>
      <c r="J103" s="106"/>
      <c r="K103" s="107" t="s">
        <v>508</v>
      </c>
      <c r="L103" s="108"/>
    </row>
    <row r="104" ht="12.75" customHeight="1">
      <c r="A104" s="98" t="s">
        <v>0</v>
      </c>
      <c r="B104" s="100" t="s">
        <v>745</v>
      </c>
      <c r="C104" s="103" t="s">
        <v>746</v>
      </c>
      <c r="D104" s="104">
        <v>5.176</v>
      </c>
      <c r="E104" s="103" t="s">
        <v>14</v>
      </c>
      <c r="F104" s="103" t="s">
        <v>751</v>
      </c>
      <c r="G104" s="103">
        <v>27400.0</v>
      </c>
      <c r="H104" s="103">
        <v>27499.0</v>
      </c>
      <c r="I104" s="106" t="s">
        <v>149</v>
      </c>
      <c r="J104" s="106"/>
      <c r="K104" s="107" t="s">
        <v>508</v>
      </c>
      <c r="L104" s="108"/>
    </row>
    <row r="105" ht="12.75" customHeight="1">
      <c r="A105" s="98" t="s">
        <v>0</v>
      </c>
      <c r="B105" s="100" t="s">
        <v>753</v>
      </c>
      <c r="C105" s="103" t="s">
        <v>755</v>
      </c>
      <c r="D105" s="104">
        <v>5.643</v>
      </c>
      <c r="E105" s="103" t="s">
        <v>14</v>
      </c>
      <c r="F105" s="103" t="s">
        <v>643</v>
      </c>
      <c r="G105" s="103">
        <v>24200.0</v>
      </c>
      <c r="H105" s="103">
        <v>24299.0</v>
      </c>
      <c r="I105" s="106" t="s">
        <v>149</v>
      </c>
      <c r="J105" s="106"/>
      <c r="K105" s="107" t="s">
        <v>508</v>
      </c>
      <c r="L105" s="108"/>
    </row>
    <row r="106" ht="12.75" customHeight="1">
      <c r="A106" s="98" t="s">
        <v>0</v>
      </c>
      <c r="B106" s="100" t="s">
        <v>763</v>
      </c>
      <c r="C106" s="103" t="s">
        <v>764</v>
      </c>
      <c r="D106" s="104">
        <v>5.667</v>
      </c>
      <c r="E106" s="103" t="s">
        <v>14</v>
      </c>
      <c r="F106" s="103" t="s">
        <v>765</v>
      </c>
      <c r="G106" s="103">
        <v>4600.0</v>
      </c>
      <c r="H106" s="103">
        <v>4699.0</v>
      </c>
      <c r="I106" s="106" t="s">
        <v>149</v>
      </c>
      <c r="J106" s="106"/>
      <c r="K106" s="107" t="s">
        <v>508</v>
      </c>
      <c r="L106" s="108"/>
    </row>
    <row r="107" ht="12.75" customHeight="1">
      <c r="A107" s="98" t="s">
        <v>0</v>
      </c>
      <c r="B107" s="100" t="s">
        <v>768</v>
      </c>
      <c r="C107" s="103" t="s">
        <v>769</v>
      </c>
      <c r="D107" s="104">
        <v>5.947</v>
      </c>
      <c r="E107" s="103" t="s">
        <v>14</v>
      </c>
      <c r="F107" s="103" t="s">
        <v>770</v>
      </c>
      <c r="G107" s="103">
        <v>30500.0</v>
      </c>
      <c r="H107" s="103">
        <v>30599.0</v>
      </c>
      <c r="I107" s="106" t="s">
        <v>149</v>
      </c>
      <c r="J107" s="106"/>
      <c r="K107" s="107" t="s">
        <v>508</v>
      </c>
      <c r="L107" s="108"/>
    </row>
    <row r="108" ht="12.75" customHeight="1">
      <c r="A108" s="98" t="s">
        <v>0</v>
      </c>
      <c r="B108" s="100" t="s">
        <v>774</v>
      </c>
      <c r="C108" s="103" t="s">
        <v>780</v>
      </c>
      <c r="D108" s="104">
        <v>6.176</v>
      </c>
      <c r="E108" s="103" t="s">
        <v>14</v>
      </c>
      <c r="F108" s="103" t="s">
        <v>573</v>
      </c>
      <c r="G108" s="103">
        <v>27500.0</v>
      </c>
      <c r="H108" s="103">
        <v>27599.0</v>
      </c>
      <c r="I108" s="106" t="s">
        <v>149</v>
      </c>
      <c r="J108" s="106"/>
      <c r="K108" s="107" t="s">
        <v>508</v>
      </c>
      <c r="L108" s="108"/>
    </row>
    <row r="109" ht="12.75" customHeight="1">
      <c r="A109" s="98" t="s">
        <v>0</v>
      </c>
      <c r="B109" s="100" t="s">
        <v>782</v>
      </c>
      <c r="C109" s="103" t="s">
        <v>783</v>
      </c>
      <c r="D109" s="104">
        <v>6.333</v>
      </c>
      <c r="E109" s="103" t="s">
        <v>14</v>
      </c>
      <c r="F109" s="103" t="s">
        <v>676</v>
      </c>
      <c r="G109" s="103">
        <v>23700.0</v>
      </c>
      <c r="H109" s="103">
        <v>23799.0</v>
      </c>
      <c r="I109" s="106" t="s">
        <v>149</v>
      </c>
      <c r="J109" s="106"/>
      <c r="K109" s="107" t="s">
        <v>508</v>
      </c>
      <c r="L109" s="108"/>
    </row>
    <row r="110" ht="12.75" customHeight="1">
      <c r="A110" s="98" t="s">
        <v>0</v>
      </c>
      <c r="B110" s="100" t="s">
        <v>790</v>
      </c>
      <c r="C110" s="103" t="s">
        <v>791</v>
      </c>
      <c r="D110" s="104">
        <v>6.357</v>
      </c>
      <c r="E110" s="103" t="s">
        <v>14</v>
      </c>
      <c r="F110" s="103" t="s">
        <v>794</v>
      </c>
      <c r="G110" s="103">
        <v>6200.0</v>
      </c>
      <c r="H110" s="103">
        <v>6299.0</v>
      </c>
      <c r="I110" s="106" t="s">
        <v>149</v>
      </c>
      <c r="J110" s="106"/>
      <c r="K110" s="107" t="s">
        <v>508</v>
      </c>
      <c r="L110" s="108"/>
    </row>
    <row r="111">
      <c r="A111" s="98" t="s">
        <v>0</v>
      </c>
      <c r="B111" s="100" t="s">
        <v>801</v>
      </c>
      <c r="C111" s="103" t="s">
        <v>802</v>
      </c>
      <c r="D111" s="104">
        <v>6.537</v>
      </c>
      <c r="E111" s="103" t="s">
        <v>14</v>
      </c>
      <c r="F111" s="103" t="s">
        <v>565</v>
      </c>
      <c r="G111" s="103">
        <v>27100.0</v>
      </c>
      <c r="H111" s="103">
        <v>27199.0</v>
      </c>
      <c r="I111" s="106" t="s">
        <v>149</v>
      </c>
      <c r="J111" s="106"/>
      <c r="K111" s="107" t="s">
        <v>508</v>
      </c>
      <c r="L111" s="108"/>
    </row>
    <row r="112" ht="12.75" customHeight="1">
      <c r="A112" s="98" t="s">
        <v>0</v>
      </c>
      <c r="B112" s="100" t="s">
        <v>809</v>
      </c>
      <c r="C112" s="103" t="s">
        <v>811</v>
      </c>
      <c r="D112" s="104">
        <v>7.0</v>
      </c>
      <c r="E112" s="103" t="s">
        <v>14</v>
      </c>
      <c r="F112" s="103" t="s">
        <v>698</v>
      </c>
      <c r="G112" s="103">
        <v>9000.0</v>
      </c>
      <c r="H112" s="103">
        <v>9099.0</v>
      </c>
      <c r="I112" s="106" t="s">
        <v>149</v>
      </c>
      <c r="J112" s="106" t="s">
        <v>678</v>
      </c>
      <c r="K112" s="107" t="s">
        <v>508</v>
      </c>
      <c r="L112" s="108"/>
    </row>
    <row r="113" ht="12.75" customHeight="1">
      <c r="A113" s="98" t="s">
        <v>0</v>
      </c>
      <c r="B113" s="100" t="s">
        <v>819</v>
      </c>
      <c r="C113" s="103" t="s">
        <v>821</v>
      </c>
      <c r="D113" s="104">
        <v>7.0</v>
      </c>
      <c r="E113" s="103" t="s">
        <v>14</v>
      </c>
      <c r="F113" s="103" t="s">
        <v>822</v>
      </c>
      <c r="G113" s="103">
        <v>10100.0</v>
      </c>
      <c r="H113" s="103">
        <v>10199.0</v>
      </c>
      <c r="I113" s="106" t="s">
        <v>149</v>
      </c>
      <c r="J113" s="106"/>
      <c r="K113" s="107" t="s">
        <v>508</v>
      </c>
      <c r="L113" s="108"/>
    </row>
    <row r="114" ht="12.75" customHeight="1">
      <c r="A114" s="98" t="s">
        <v>0</v>
      </c>
      <c r="B114" s="7" t="s">
        <v>827</v>
      </c>
      <c r="C114" s="9" t="s">
        <v>829</v>
      </c>
      <c r="D114" s="10">
        <v>7.25</v>
      </c>
      <c r="E114" s="9" t="s">
        <v>14</v>
      </c>
      <c r="F114" s="9" t="s">
        <v>832</v>
      </c>
      <c r="G114" s="9">
        <v>3500.0</v>
      </c>
      <c r="H114" s="9">
        <v>3599.0</v>
      </c>
      <c r="I114" s="12" t="s">
        <v>836</v>
      </c>
      <c r="J114" s="12" t="s">
        <v>151</v>
      </c>
      <c r="K114" s="9" t="s">
        <v>839</v>
      </c>
      <c r="L114" s="14"/>
    </row>
    <row r="115" ht="12.75" customHeight="1">
      <c r="A115" s="98" t="s">
        <v>0</v>
      </c>
      <c r="B115" s="100" t="s">
        <v>841</v>
      </c>
      <c r="C115" s="103" t="s">
        <v>842</v>
      </c>
      <c r="D115" s="104">
        <v>7.333</v>
      </c>
      <c r="E115" s="103" t="s">
        <v>14</v>
      </c>
      <c r="F115" s="103" t="s">
        <v>845</v>
      </c>
      <c r="G115" s="103">
        <v>34500.0</v>
      </c>
      <c r="H115" s="103">
        <v>34599.0</v>
      </c>
      <c r="I115" s="106" t="s">
        <v>149</v>
      </c>
      <c r="J115" s="106"/>
      <c r="K115" s="107" t="s">
        <v>508</v>
      </c>
      <c r="L115" s="108"/>
    </row>
    <row r="116" ht="12.75" customHeight="1">
      <c r="A116" s="98" t="s">
        <v>0</v>
      </c>
      <c r="B116" s="100" t="s">
        <v>850</v>
      </c>
      <c r="C116" s="103" t="s">
        <v>851</v>
      </c>
      <c r="D116" s="104">
        <v>7.533</v>
      </c>
      <c r="E116" s="103" t="s">
        <v>14</v>
      </c>
      <c r="F116" s="103" t="s">
        <v>529</v>
      </c>
      <c r="G116" s="103">
        <v>4000.0</v>
      </c>
      <c r="H116" s="103">
        <v>4099.0</v>
      </c>
      <c r="I116" s="106" t="s">
        <v>149</v>
      </c>
      <c r="J116" s="106"/>
      <c r="K116" s="107" t="s">
        <v>508</v>
      </c>
      <c r="L116" s="108"/>
    </row>
    <row r="117" ht="12.75" customHeight="1">
      <c r="A117" s="98" t="s">
        <v>0</v>
      </c>
      <c r="B117" s="7" t="s">
        <v>860</v>
      </c>
      <c r="C117" s="9" t="s">
        <v>862</v>
      </c>
      <c r="D117" s="10">
        <v>8.333</v>
      </c>
      <c r="E117" s="9" t="s">
        <v>14</v>
      </c>
      <c r="F117" s="9" t="s">
        <v>865</v>
      </c>
      <c r="G117" s="9">
        <v>700.0</v>
      </c>
      <c r="H117" s="9">
        <v>799.0</v>
      </c>
      <c r="I117" s="12" t="s">
        <v>868</v>
      </c>
      <c r="J117" s="12" t="s">
        <v>151</v>
      </c>
      <c r="K117" s="9" t="s">
        <v>870</v>
      </c>
      <c r="L117" s="14"/>
    </row>
    <row r="118" ht="12.75" customHeight="1">
      <c r="A118" s="98" t="s">
        <v>0</v>
      </c>
      <c r="B118" s="100" t="s">
        <v>872</v>
      </c>
      <c r="C118" s="103" t="s">
        <v>873</v>
      </c>
      <c r="D118" s="104">
        <v>8.35</v>
      </c>
      <c r="E118" s="103" t="s">
        <v>14</v>
      </c>
      <c r="F118" s="103" t="s">
        <v>876</v>
      </c>
      <c r="G118" s="103">
        <v>12500.0</v>
      </c>
      <c r="H118" s="103">
        <v>12599.0</v>
      </c>
      <c r="I118" s="106" t="s">
        <v>149</v>
      </c>
      <c r="J118" s="106"/>
      <c r="K118" s="107" t="s">
        <v>508</v>
      </c>
      <c r="L118" s="108"/>
    </row>
    <row r="119" ht="12.75" customHeight="1">
      <c r="A119" s="98" t="s">
        <v>0</v>
      </c>
      <c r="B119" s="100" t="s">
        <v>879</v>
      </c>
      <c r="C119" s="103" t="s">
        <v>882</v>
      </c>
      <c r="D119" s="104">
        <v>8.542</v>
      </c>
      <c r="E119" s="103" t="s">
        <v>14</v>
      </c>
      <c r="F119" s="103" t="s">
        <v>586</v>
      </c>
      <c r="G119" s="103">
        <v>30100.0</v>
      </c>
      <c r="H119" s="103">
        <v>30199.0</v>
      </c>
      <c r="I119" s="106" t="s">
        <v>149</v>
      </c>
      <c r="J119" s="106"/>
      <c r="K119" s="107" t="s">
        <v>508</v>
      </c>
      <c r="L119" s="108"/>
    </row>
    <row r="120" ht="12.75" customHeight="1">
      <c r="A120" s="98" t="s">
        <v>0</v>
      </c>
      <c r="B120" s="100" t="s">
        <v>888</v>
      </c>
      <c r="C120" s="103" t="s">
        <v>889</v>
      </c>
      <c r="D120" s="104">
        <v>8.667</v>
      </c>
      <c r="E120" s="103" t="s">
        <v>14</v>
      </c>
      <c r="F120" s="103" t="s">
        <v>529</v>
      </c>
      <c r="G120" s="103">
        <v>7000.0</v>
      </c>
      <c r="H120" s="103">
        <v>7099.0</v>
      </c>
      <c r="I120" s="106" t="s">
        <v>149</v>
      </c>
      <c r="J120" s="106"/>
      <c r="K120" s="107" t="s">
        <v>508</v>
      </c>
      <c r="L120" s="108"/>
    </row>
    <row r="121" ht="12.75" customHeight="1">
      <c r="A121" s="98" t="s">
        <v>0</v>
      </c>
      <c r="B121" s="100" t="s">
        <v>895</v>
      </c>
      <c r="C121" s="103" t="s">
        <v>896</v>
      </c>
      <c r="D121" s="104">
        <v>8.667</v>
      </c>
      <c r="E121" s="103" t="s">
        <v>14</v>
      </c>
      <c r="F121" s="103" t="s">
        <v>698</v>
      </c>
      <c r="G121" s="103">
        <v>24000.0</v>
      </c>
      <c r="H121" s="103">
        <v>24099.0</v>
      </c>
      <c r="I121" s="106" t="s">
        <v>149</v>
      </c>
      <c r="J121" s="106"/>
      <c r="K121" s="107" t="s">
        <v>508</v>
      </c>
      <c r="L121" s="108"/>
    </row>
    <row r="122" ht="12.75" customHeight="1">
      <c r="A122" s="98" t="s">
        <v>0</v>
      </c>
      <c r="B122" s="100" t="s">
        <v>903</v>
      </c>
      <c r="C122" s="103" t="s">
        <v>904</v>
      </c>
      <c r="D122" s="104">
        <v>8.7</v>
      </c>
      <c r="E122" s="103" t="s">
        <v>14</v>
      </c>
      <c r="F122" s="103" t="s">
        <v>906</v>
      </c>
      <c r="G122" s="103">
        <v>7800.0</v>
      </c>
      <c r="H122" s="103">
        <v>7899.0</v>
      </c>
      <c r="I122" s="106" t="s">
        <v>149</v>
      </c>
      <c r="J122" s="106"/>
      <c r="K122" s="107" t="s">
        <v>508</v>
      </c>
      <c r="L122" s="108"/>
    </row>
    <row r="123" ht="12.75" customHeight="1">
      <c r="A123" s="98" t="s">
        <v>0</v>
      </c>
      <c r="B123" s="100" t="s">
        <v>910</v>
      </c>
      <c r="C123" s="103" t="s">
        <v>911</v>
      </c>
      <c r="D123" s="104">
        <v>8.75</v>
      </c>
      <c r="E123" s="103" t="s">
        <v>14</v>
      </c>
      <c r="F123" s="103" t="s">
        <v>914</v>
      </c>
      <c r="G123" s="103">
        <v>4400.0</v>
      </c>
      <c r="H123" s="103">
        <v>4499.0</v>
      </c>
      <c r="I123" s="106" t="s">
        <v>149</v>
      </c>
      <c r="J123" s="106"/>
      <c r="K123" s="107" t="s">
        <v>508</v>
      </c>
      <c r="L123" s="108"/>
    </row>
    <row r="124" ht="12.75" customHeight="1">
      <c r="A124" s="98" t="s">
        <v>0</v>
      </c>
      <c r="B124" s="100" t="s">
        <v>918</v>
      </c>
      <c r="C124" s="103" t="s">
        <v>920</v>
      </c>
      <c r="D124" s="104">
        <v>8.778</v>
      </c>
      <c r="E124" s="103" t="s">
        <v>14</v>
      </c>
      <c r="F124" s="103" t="s">
        <v>922</v>
      </c>
      <c r="G124" s="103">
        <v>24300.0</v>
      </c>
      <c r="H124" s="103">
        <v>24399.0</v>
      </c>
      <c r="I124" s="106" t="s">
        <v>149</v>
      </c>
      <c r="J124" s="106"/>
      <c r="K124" s="107" t="s">
        <v>508</v>
      </c>
      <c r="L124" s="108"/>
    </row>
    <row r="125" ht="12.75" customHeight="1">
      <c r="A125" s="98" t="s">
        <v>0</v>
      </c>
      <c r="B125" s="100" t="s">
        <v>926</v>
      </c>
      <c r="C125" s="103" t="s">
        <v>928</v>
      </c>
      <c r="D125" s="104">
        <v>8.786</v>
      </c>
      <c r="E125" s="103" t="s">
        <v>14</v>
      </c>
      <c r="F125" s="103" t="s">
        <v>930</v>
      </c>
      <c r="G125" s="103">
        <v>8600.0</v>
      </c>
      <c r="H125" s="103">
        <v>8699.0</v>
      </c>
      <c r="I125" s="106" t="s">
        <v>149</v>
      </c>
      <c r="J125" s="106"/>
      <c r="K125" s="107" t="s">
        <v>508</v>
      </c>
      <c r="L125" s="108"/>
    </row>
    <row r="126" ht="12.75" customHeight="1">
      <c r="A126" s="98" t="s">
        <v>0</v>
      </c>
      <c r="B126" s="100" t="s">
        <v>934</v>
      </c>
      <c r="C126" s="103" t="s">
        <v>935</v>
      </c>
      <c r="D126" s="104">
        <v>8.913</v>
      </c>
      <c r="E126" s="103" t="s">
        <v>14</v>
      </c>
      <c r="F126" s="103" t="s">
        <v>937</v>
      </c>
      <c r="G126" s="103">
        <v>10600.0</v>
      </c>
      <c r="H126" s="103">
        <v>10699.0</v>
      </c>
      <c r="I126" s="106" t="s">
        <v>149</v>
      </c>
      <c r="J126" s="106"/>
      <c r="K126" s="103"/>
      <c r="L126" s="108"/>
    </row>
    <row r="127" ht="12.75" customHeight="1">
      <c r="A127" s="98" t="s">
        <v>0</v>
      </c>
      <c r="B127" s="100" t="s">
        <v>942</v>
      </c>
      <c r="C127" s="103" t="s">
        <v>851</v>
      </c>
      <c r="D127" s="104">
        <v>9.0</v>
      </c>
      <c r="E127" s="103" t="s">
        <v>14</v>
      </c>
      <c r="F127" s="103" t="s">
        <v>529</v>
      </c>
      <c r="G127" s="103">
        <v>4100.0</v>
      </c>
      <c r="H127" s="103">
        <v>4199.0</v>
      </c>
      <c r="I127" s="106" t="s">
        <v>149</v>
      </c>
      <c r="J127" s="106"/>
      <c r="K127" s="107" t="s">
        <v>508</v>
      </c>
      <c r="L127" s="108"/>
    </row>
    <row r="128" ht="12.75" customHeight="1">
      <c r="A128" s="98" t="s">
        <v>0</v>
      </c>
      <c r="B128" s="100" t="s">
        <v>944</v>
      </c>
      <c r="C128" s="103" t="s">
        <v>945</v>
      </c>
      <c r="D128" s="104">
        <v>9.0</v>
      </c>
      <c r="E128" s="103" t="s">
        <v>14</v>
      </c>
      <c r="F128" s="103" t="s">
        <v>946</v>
      </c>
      <c r="G128" s="103">
        <v>9600.0</v>
      </c>
      <c r="H128" s="103">
        <v>9699.0</v>
      </c>
      <c r="I128" s="106" t="s">
        <v>149</v>
      </c>
      <c r="J128" s="106"/>
      <c r="K128" s="107" t="s">
        <v>508</v>
      </c>
      <c r="L128" s="108"/>
    </row>
    <row r="129" ht="12.75" customHeight="1">
      <c r="A129" s="98" t="s">
        <v>0</v>
      </c>
      <c r="B129" s="100" t="s">
        <v>948</v>
      </c>
      <c r="C129" s="103" t="s">
        <v>949</v>
      </c>
      <c r="D129" s="104">
        <v>9.2</v>
      </c>
      <c r="E129" s="103" t="s">
        <v>14</v>
      </c>
      <c r="F129" s="103" t="s">
        <v>529</v>
      </c>
      <c r="G129" s="103">
        <v>7200.0</v>
      </c>
      <c r="H129" s="103">
        <v>7299.0</v>
      </c>
      <c r="I129" s="106" t="s">
        <v>149</v>
      </c>
      <c r="J129" s="106"/>
      <c r="K129" s="107" t="s">
        <v>508</v>
      </c>
      <c r="L129" s="108"/>
    </row>
    <row r="130" ht="12.75" customHeight="1">
      <c r="A130" s="98" t="s">
        <v>0</v>
      </c>
      <c r="B130" s="100" t="s">
        <v>950</v>
      </c>
      <c r="C130" s="103" t="s">
        <v>951</v>
      </c>
      <c r="D130" s="104">
        <v>9.455</v>
      </c>
      <c r="E130" s="103" t="s">
        <v>14</v>
      </c>
      <c r="F130" s="103" t="s">
        <v>952</v>
      </c>
      <c r="G130" s="103">
        <v>29800.0</v>
      </c>
      <c r="H130" s="103">
        <v>29899.0</v>
      </c>
      <c r="I130" s="106" t="s">
        <v>149</v>
      </c>
      <c r="J130" s="106"/>
      <c r="K130" s="107" t="s">
        <v>508</v>
      </c>
      <c r="L130" s="108"/>
    </row>
    <row r="131" ht="12.75" customHeight="1">
      <c r="A131" s="98" t="s">
        <v>0</v>
      </c>
      <c r="B131" s="7" t="s">
        <v>953</v>
      </c>
      <c r="C131" s="9" t="s">
        <v>954</v>
      </c>
      <c r="D131" s="10">
        <v>9.455</v>
      </c>
      <c r="E131" s="9" t="s">
        <v>642</v>
      </c>
      <c r="F131" s="9" t="s">
        <v>643</v>
      </c>
      <c r="G131" s="9">
        <v>3100.0</v>
      </c>
      <c r="H131" s="9">
        <v>3199.0</v>
      </c>
      <c r="I131" s="12" t="s">
        <v>957</v>
      </c>
      <c r="J131" s="12" t="s">
        <v>646</v>
      </c>
      <c r="K131" s="9" t="s">
        <v>958</v>
      </c>
      <c r="L131" s="14"/>
    </row>
    <row r="132" ht="12.75" customHeight="1">
      <c r="A132" s="98" t="s">
        <v>0</v>
      </c>
      <c r="B132" s="100" t="s">
        <v>959</v>
      </c>
      <c r="C132" s="103" t="s">
        <v>960</v>
      </c>
      <c r="D132" s="104">
        <v>9.609</v>
      </c>
      <c r="E132" s="103" t="s">
        <v>14</v>
      </c>
      <c r="F132" s="103" t="s">
        <v>961</v>
      </c>
      <c r="G132" s="103">
        <v>3900.0</v>
      </c>
      <c r="H132" s="103">
        <v>3999.0</v>
      </c>
      <c r="I132" s="106" t="s">
        <v>149</v>
      </c>
      <c r="J132" s="106"/>
      <c r="K132" s="107" t="s">
        <v>508</v>
      </c>
      <c r="L132" s="108"/>
    </row>
    <row r="133" ht="12.75" customHeight="1">
      <c r="A133" s="98" t="s">
        <v>0</v>
      </c>
      <c r="B133" s="100" t="s">
        <v>962</v>
      </c>
      <c r="C133" s="103" t="s">
        <v>963</v>
      </c>
      <c r="D133" s="104">
        <v>9.941</v>
      </c>
      <c r="E133" s="103" t="s">
        <v>14</v>
      </c>
      <c r="F133" s="103" t="s">
        <v>965</v>
      </c>
      <c r="G133" s="103">
        <v>5000.0</v>
      </c>
      <c r="H133" s="103">
        <v>5099.0</v>
      </c>
      <c r="I133" s="106" t="s">
        <v>149</v>
      </c>
      <c r="J133" s="106"/>
      <c r="K133" s="107" t="s">
        <v>508</v>
      </c>
      <c r="L133" s="108"/>
    </row>
    <row r="134" ht="12.75" customHeight="1">
      <c r="A134" s="98" t="s">
        <v>0</v>
      </c>
      <c r="B134" s="7" t="s">
        <v>968</v>
      </c>
      <c r="C134" s="9" t="s">
        <v>970</v>
      </c>
      <c r="D134" s="10">
        <v>10.088</v>
      </c>
      <c r="E134" s="9" t="s">
        <v>14</v>
      </c>
      <c r="F134" s="9" t="s">
        <v>972</v>
      </c>
      <c r="G134" s="9">
        <v>27700.0</v>
      </c>
      <c r="H134" s="9">
        <v>27799.0</v>
      </c>
      <c r="I134" s="12" t="s">
        <v>149</v>
      </c>
      <c r="J134" s="12"/>
      <c r="K134" s="9" t="s">
        <v>973</v>
      </c>
      <c r="L134" s="14"/>
    </row>
    <row r="135" ht="12.75" customHeight="1">
      <c r="A135" s="98" t="s">
        <v>0</v>
      </c>
      <c r="B135" s="100" t="s">
        <v>975</v>
      </c>
      <c r="C135" s="103" t="s">
        <v>977</v>
      </c>
      <c r="D135" s="104">
        <v>10.091</v>
      </c>
      <c r="E135" s="103" t="s">
        <v>14</v>
      </c>
      <c r="F135" s="103" t="s">
        <v>979</v>
      </c>
      <c r="G135" s="103">
        <v>28900.0</v>
      </c>
      <c r="H135" s="103">
        <v>28999.0</v>
      </c>
      <c r="I135" s="106" t="s">
        <v>149</v>
      </c>
      <c r="J135" s="106"/>
      <c r="K135" s="107" t="s">
        <v>508</v>
      </c>
      <c r="L135" s="108"/>
    </row>
    <row r="136" ht="12.75" customHeight="1">
      <c r="A136" s="98" t="s">
        <v>0</v>
      </c>
      <c r="B136" s="100" t="s">
        <v>983</v>
      </c>
      <c r="C136" s="103" t="s">
        <v>984</v>
      </c>
      <c r="D136" s="104">
        <v>10.167</v>
      </c>
      <c r="E136" s="103" t="s">
        <v>14</v>
      </c>
      <c r="F136" s="103" t="s">
        <v>986</v>
      </c>
      <c r="G136" s="103">
        <v>10300.0</v>
      </c>
      <c r="H136" s="103">
        <v>10399.0</v>
      </c>
      <c r="I136" s="106" t="s">
        <v>149</v>
      </c>
      <c r="J136" s="106"/>
      <c r="K136" s="107" t="s">
        <v>508</v>
      </c>
      <c r="L136" s="108"/>
    </row>
    <row r="137" ht="12.75" customHeight="1">
      <c r="A137" s="98" t="s">
        <v>0</v>
      </c>
      <c r="B137" s="100" t="s">
        <v>989</v>
      </c>
      <c r="C137" s="103" t="s">
        <v>990</v>
      </c>
      <c r="D137" s="104">
        <v>10.333</v>
      </c>
      <c r="E137" s="103" t="s">
        <v>14</v>
      </c>
      <c r="F137" s="103" t="s">
        <v>676</v>
      </c>
      <c r="G137" s="103">
        <v>3800.0</v>
      </c>
      <c r="H137" s="103">
        <v>3899.0</v>
      </c>
      <c r="I137" s="106" t="s">
        <v>149</v>
      </c>
      <c r="J137" s="106"/>
      <c r="K137" s="107" t="s">
        <v>508</v>
      </c>
      <c r="L137" s="108"/>
    </row>
    <row r="138" ht="12.75" customHeight="1">
      <c r="A138" s="98" t="s">
        <v>0</v>
      </c>
      <c r="B138" s="100" t="s">
        <v>995</v>
      </c>
      <c r="C138" s="103" t="s">
        <v>996</v>
      </c>
      <c r="D138" s="104">
        <v>10.696</v>
      </c>
      <c r="E138" s="103" t="s">
        <v>14</v>
      </c>
      <c r="F138" s="103" t="s">
        <v>1000</v>
      </c>
      <c r="G138" s="103">
        <v>29400.0</v>
      </c>
      <c r="H138" s="103">
        <v>29499.0</v>
      </c>
      <c r="I138" s="106" t="s">
        <v>149</v>
      </c>
      <c r="J138" s="106"/>
      <c r="K138" s="107" t="s">
        <v>508</v>
      </c>
      <c r="L138" s="108"/>
    </row>
    <row r="139" ht="12.75" customHeight="1">
      <c r="A139" s="98" t="s">
        <v>0</v>
      </c>
      <c r="B139" s="100" t="s">
        <v>1004</v>
      </c>
      <c r="C139" s="103" t="s">
        <v>1005</v>
      </c>
      <c r="D139" s="104">
        <v>10.87</v>
      </c>
      <c r="E139" s="103" t="s">
        <v>14</v>
      </c>
      <c r="F139" s="103" t="s">
        <v>1006</v>
      </c>
      <c r="G139" s="103">
        <v>28700.0</v>
      </c>
      <c r="H139" s="103">
        <v>28799.0</v>
      </c>
      <c r="I139" s="106" t="s">
        <v>149</v>
      </c>
      <c r="J139" s="106"/>
      <c r="K139" s="107" t="s">
        <v>508</v>
      </c>
      <c r="L139" s="108"/>
    </row>
    <row r="140" ht="12.75" customHeight="1">
      <c r="A140" s="98" t="s">
        <v>0</v>
      </c>
      <c r="B140" s="100" t="s">
        <v>1008</v>
      </c>
      <c r="C140" s="103" t="s">
        <v>1010</v>
      </c>
      <c r="D140" s="104">
        <v>11.0</v>
      </c>
      <c r="E140" s="103" t="s">
        <v>14</v>
      </c>
      <c r="F140" s="103" t="s">
        <v>676</v>
      </c>
      <c r="G140" s="103">
        <v>23600.0</v>
      </c>
      <c r="H140" s="103">
        <v>23699.0</v>
      </c>
      <c r="I140" s="106" t="s">
        <v>149</v>
      </c>
      <c r="J140" s="106"/>
      <c r="K140" s="107" t="s">
        <v>508</v>
      </c>
      <c r="L140" s="108"/>
    </row>
    <row r="141" ht="12.75" customHeight="1">
      <c r="A141" s="98" t="s">
        <v>0</v>
      </c>
      <c r="B141" s="100" t="s">
        <v>1016</v>
      </c>
      <c r="C141" s="103" t="s">
        <v>1018</v>
      </c>
      <c r="D141" s="104">
        <v>11.0</v>
      </c>
      <c r="E141" s="103" t="s">
        <v>14</v>
      </c>
      <c r="F141" s="103" t="s">
        <v>549</v>
      </c>
      <c r="G141" s="103">
        <v>26200.0</v>
      </c>
      <c r="H141" s="103">
        <v>26299.0</v>
      </c>
      <c r="I141" s="106" t="s">
        <v>149</v>
      </c>
      <c r="J141" s="106"/>
      <c r="K141" s="107" t="s">
        <v>508</v>
      </c>
      <c r="L141" s="108"/>
    </row>
    <row r="142" ht="12.75" customHeight="1">
      <c r="A142" s="98" t="s">
        <v>0</v>
      </c>
      <c r="B142" s="100" t="s">
        <v>1022</v>
      </c>
      <c r="C142" s="103" t="s">
        <v>1023</v>
      </c>
      <c r="D142" s="104">
        <v>11.0</v>
      </c>
      <c r="E142" s="103" t="s">
        <v>14</v>
      </c>
      <c r="F142" s="103" t="s">
        <v>549</v>
      </c>
      <c r="G142" s="103">
        <v>31300.0</v>
      </c>
      <c r="H142" s="103">
        <v>31399.0</v>
      </c>
      <c r="I142" s="106" t="s">
        <v>149</v>
      </c>
      <c r="J142" s="106"/>
      <c r="K142" s="107" t="s">
        <v>508</v>
      </c>
      <c r="L142" s="108"/>
    </row>
    <row r="143" ht="12.75" customHeight="1">
      <c r="A143" s="98" t="s">
        <v>0</v>
      </c>
      <c r="B143" s="100" t="s">
        <v>1029</v>
      </c>
      <c r="C143" s="103" t="s">
        <v>1031</v>
      </c>
      <c r="D143" s="104">
        <v>11.091</v>
      </c>
      <c r="E143" s="103" t="s">
        <v>14</v>
      </c>
      <c r="F143" s="103" t="s">
        <v>549</v>
      </c>
      <c r="G143" s="103">
        <v>25300.0</v>
      </c>
      <c r="H143" s="103">
        <v>25399.0</v>
      </c>
      <c r="I143" s="106" t="s">
        <v>149</v>
      </c>
      <c r="J143" s="106"/>
      <c r="K143" s="107" t="s">
        <v>508</v>
      </c>
      <c r="L143" s="108"/>
    </row>
    <row r="144" ht="12.75" customHeight="1">
      <c r="A144" s="98" t="s">
        <v>0</v>
      </c>
      <c r="B144" s="7" t="s">
        <v>1037</v>
      </c>
      <c r="C144" s="9" t="s">
        <v>1039</v>
      </c>
      <c r="D144" s="10">
        <v>11.167</v>
      </c>
      <c r="E144" s="9" t="s">
        <v>14</v>
      </c>
      <c r="F144" s="9" t="s">
        <v>1041</v>
      </c>
      <c r="G144" s="9">
        <v>2100.0</v>
      </c>
      <c r="H144" s="9">
        <v>2199.0</v>
      </c>
      <c r="I144" s="12" t="s">
        <v>149</v>
      </c>
      <c r="J144" s="12" t="s">
        <v>646</v>
      </c>
      <c r="K144" s="9" t="s">
        <v>1044</v>
      </c>
      <c r="L144" s="14"/>
    </row>
    <row r="145" ht="12.75" customHeight="1">
      <c r="A145" s="98" t="s">
        <v>0</v>
      </c>
      <c r="B145" s="7" t="s">
        <v>1046</v>
      </c>
      <c r="C145" s="9" t="s">
        <v>1048</v>
      </c>
      <c r="D145" s="10">
        <v>11.474</v>
      </c>
      <c r="E145" s="9" t="s">
        <v>14</v>
      </c>
      <c r="F145" s="9" t="s">
        <v>865</v>
      </c>
      <c r="G145" s="9">
        <v>1700.0</v>
      </c>
      <c r="H145" s="9">
        <v>1799.0</v>
      </c>
      <c r="I145" s="12" t="s">
        <v>1054</v>
      </c>
      <c r="J145" s="12" t="s">
        <v>151</v>
      </c>
      <c r="K145" s="9" t="s">
        <v>1056</v>
      </c>
      <c r="L145" s="14"/>
    </row>
    <row r="146" ht="12.75" customHeight="1">
      <c r="A146" s="98" t="s">
        <v>0</v>
      </c>
      <c r="B146" s="7" t="s">
        <v>1057</v>
      </c>
      <c r="C146" s="9" t="s">
        <v>1058</v>
      </c>
      <c r="D146" s="10">
        <v>11.639</v>
      </c>
      <c r="E146" s="9" t="s">
        <v>14</v>
      </c>
      <c r="F146" s="9" t="s">
        <v>865</v>
      </c>
      <c r="G146" s="9">
        <v>1600.0</v>
      </c>
      <c r="H146" s="9">
        <v>1699.0</v>
      </c>
      <c r="I146" s="12" t="s">
        <v>1062</v>
      </c>
      <c r="J146" s="12" t="s">
        <v>151</v>
      </c>
      <c r="K146" s="9" t="s">
        <v>1056</v>
      </c>
      <c r="L146" s="14"/>
    </row>
    <row r="147" ht="12.75" customHeight="1">
      <c r="A147" s="98" t="s">
        <v>0</v>
      </c>
      <c r="B147" s="100" t="s">
        <v>1064</v>
      </c>
      <c r="C147" s="103" t="s">
        <v>1065</v>
      </c>
      <c r="D147" s="104">
        <v>11.733</v>
      </c>
      <c r="E147" s="103" t="s">
        <v>14</v>
      </c>
      <c r="F147" s="103" t="s">
        <v>549</v>
      </c>
      <c r="G147" s="103">
        <v>25400.0</v>
      </c>
      <c r="H147" s="103">
        <v>25499.0</v>
      </c>
      <c r="I147" s="106" t="s">
        <v>149</v>
      </c>
      <c r="J147" s="106"/>
      <c r="K147" s="107" t="s">
        <v>508</v>
      </c>
      <c r="L147" s="108"/>
    </row>
    <row r="148" ht="12.75" customHeight="1">
      <c r="A148" s="98" t="s">
        <v>0</v>
      </c>
      <c r="B148" s="100" t="s">
        <v>1069</v>
      </c>
      <c r="C148" s="103" t="s">
        <v>1070</v>
      </c>
      <c r="D148" s="104">
        <v>12.083</v>
      </c>
      <c r="E148" s="103" t="s">
        <v>14</v>
      </c>
      <c r="F148" s="103" t="s">
        <v>1072</v>
      </c>
      <c r="G148" s="103">
        <v>23500.0</v>
      </c>
      <c r="H148" s="103">
        <v>23599.0</v>
      </c>
      <c r="I148" s="106" t="s">
        <v>149</v>
      </c>
      <c r="J148" s="106"/>
      <c r="K148" s="107" t="s">
        <v>508</v>
      </c>
      <c r="L148" s="108"/>
    </row>
    <row r="149" ht="12.75" customHeight="1">
      <c r="A149" s="98" t="s">
        <v>0</v>
      </c>
      <c r="B149" s="7" t="s">
        <v>1075</v>
      </c>
      <c r="C149" s="9" t="s">
        <v>1077</v>
      </c>
      <c r="D149" s="10">
        <v>12.167</v>
      </c>
      <c r="E149" s="9" t="s">
        <v>14</v>
      </c>
      <c r="F149" s="9" t="s">
        <v>1080</v>
      </c>
      <c r="G149" s="9">
        <v>900.0</v>
      </c>
      <c r="H149" s="9">
        <v>999.0</v>
      </c>
      <c r="I149" s="12" t="s">
        <v>1083</v>
      </c>
      <c r="J149" s="12" t="s">
        <v>1084</v>
      </c>
      <c r="K149" s="9" t="s">
        <v>1086</v>
      </c>
      <c r="L149" s="14"/>
    </row>
    <row r="150" ht="12.75" customHeight="1">
      <c r="A150" s="98" t="s">
        <v>0</v>
      </c>
      <c r="B150" s="100" t="s">
        <v>1089</v>
      </c>
      <c r="C150" s="103" t="s">
        <v>1090</v>
      </c>
      <c r="D150" s="104">
        <v>12.429</v>
      </c>
      <c r="E150" s="103" t="s">
        <v>14</v>
      </c>
      <c r="F150" s="103" t="s">
        <v>770</v>
      </c>
      <c r="G150" s="103">
        <v>30400.0</v>
      </c>
      <c r="H150" s="103">
        <v>30499.0</v>
      </c>
      <c r="I150" s="106" t="s">
        <v>149</v>
      </c>
      <c r="J150" s="106"/>
      <c r="K150" s="107" t="s">
        <v>508</v>
      </c>
      <c r="L150" s="108"/>
    </row>
    <row r="151" ht="12.75" customHeight="1">
      <c r="A151" s="98" t="s">
        <v>0</v>
      </c>
      <c r="B151" s="100" t="s">
        <v>1095</v>
      </c>
      <c r="C151" s="103" t="s">
        <v>1097</v>
      </c>
      <c r="D151" s="104">
        <v>12.5</v>
      </c>
      <c r="E151" s="103" t="s">
        <v>14</v>
      </c>
      <c r="F151" s="103" t="s">
        <v>1099</v>
      </c>
      <c r="G151" s="103">
        <v>4500.0</v>
      </c>
      <c r="H151" s="103">
        <v>4599.0</v>
      </c>
      <c r="I151" s="106" t="s">
        <v>149</v>
      </c>
      <c r="J151" s="106"/>
      <c r="K151" s="107" t="s">
        <v>508</v>
      </c>
      <c r="L151" s="108"/>
    </row>
    <row r="152" ht="12.75" customHeight="1">
      <c r="A152" s="98" t="s">
        <v>0</v>
      </c>
      <c r="B152" s="7" t="s">
        <v>1103</v>
      </c>
      <c r="C152" s="9" t="s">
        <v>1105</v>
      </c>
      <c r="D152" s="10">
        <v>12.641</v>
      </c>
      <c r="E152" s="9" t="s">
        <v>14</v>
      </c>
      <c r="F152" s="9" t="s">
        <v>1108</v>
      </c>
      <c r="G152" s="9">
        <v>27900.0</v>
      </c>
      <c r="H152" s="9">
        <v>27999.0</v>
      </c>
      <c r="I152" s="12" t="s">
        <v>149</v>
      </c>
      <c r="J152" s="12"/>
      <c r="K152" s="9" t="s">
        <v>973</v>
      </c>
      <c r="L152" s="14"/>
    </row>
    <row r="153" ht="12.75" customHeight="1">
      <c r="A153" s="98" t="s">
        <v>0</v>
      </c>
      <c r="B153" s="100" t="s">
        <v>1113</v>
      </c>
      <c r="C153" s="103" t="s">
        <v>1115</v>
      </c>
      <c r="D153" s="104">
        <v>13.2</v>
      </c>
      <c r="E153" s="103" t="s">
        <v>14</v>
      </c>
      <c r="F153" s="103" t="s">
        <v>965</v>
      </c>
      <c r="G153" s="103">
        <v>5200.0</v>
      </c>
      <c r="H153" s="103">
        <v>5299.0</v>
      </c>
      <c r="I153" s="106" t="s">
        <v>149</v>
      </c>
      <c r="J153" s="106"/>
      <c r="K153" s="107" t="s">
        <v>508</v>
      </c>
      <c r="L153" s="108"/>
    </row>
    <row r="154" ht="12.75" customHeight="1">
      <c r="A154" s="98" t="s">
        <v>0</v>
      </c>
      <c r="B154" s="100" t="s">
        <v>1121</v>
      </c>
      <c r="C154" s="103" t="s">
        <v>1123</v>
      </c>
      <c r="D154" s="104">
        <v>13.25</v>
      </c>
      <c r="E154" s="103" t="s">
        <v>14</v>
      </c>
      <c r="F154" s="103" t="s">
        <v>1125</v>
      </c>
      <c r="G154" s="103">
        <v>29500.0</v>
      </c>
      <c r="H154" s="103">
        <v>29599.0</v>
      </c>
      <c r="I154" s="106" t="s">
        <v>149</v>
      </c>
      <c r="J154" s="106"/>
      <c r="K154" s="107" t="s">
        <v>508</v>
      </c>
      <c r="L154" s="108"/>
    </row>
    <row r="155" ht="12.75" customHeight="1">
      <c r="A155" s="98" t="s">
        <v>0</v>
      </c>
      <c r="B155" s="100" t="s">
        <v>1129</v>
      </c>
      <c r="C155" s="103" t="s">
        <v>1131</v>
      </c>
      <c r="D155" s="104">
        <v>13.267</v>
      </c>
      <c r="E155" s="103" t="s">
        <v>14</v>
      </c>
      <c r="F155" s="103" t="s">
        <v>1134</v>
      </c>
      <c r="G155" s="103">
        <v>5700.0</v>
      </c>
      <c r="H155" s="103">
        <v>5799.0</v>
      </c>
      <c r="I155" s="106" t="s">
        <v>149</v>
      </c>
      <c r="J155" s="106"/>
      <c r="K155" s="107" t="s">
        <v>508</v>
      </c>
      <c r="L155" s="108"/>
    </row>
    <row r="156" ht="12.75" customHeight="1">
      <c r="A156" s="98" t="s">
        <v>0</v>
      </c>
      <c r="B156" s="100" t="s">
        <v>1139</v>
      </c>
      <c r="C156" s="103" t="s">
        <v>1140</v>
      </c>
      <c r="D156" s="104">
        <v>13.4</v>
      </c>
      <c r="E156" s="103" t="s">
        <v>14</v>
      </c>
      <c r="F156" s="103" t="s">
        <v>1141</v>
      </c>
      <c r="G156" s="103">
        <v>10700.0</v>
      </c>
      <c r="H156" s="103">
        <v>10799.0</v>
      </c>
      <c r="I156" s="106" t="s">
        <v>149</v>
      </c>
      <c r="J156" s="106"/>
      <c r="K156" s="103"/>
      <c r="L156" s="108"/>
    </row>
    <row r="157" ht="12.75" customHeight="1">
      <c r="A157" s="98" t="s">
        <v>0</v>
      </c>
      <c r="B157" s="7" t="s">
        <v>1145</v>
      </c>
      <c r="C157" s="20" t="s">
        <v>1147</v>
      </c>
      <c r="D157" s="10">
        <v>13.55</v>
      </c>
      <c r="E157" s="9" t="s">
        <v>14</v>
      </c>
      <c r="F157" s="9" t="s">
        <v>794</v>
      </c>
      <c r="G157" s="9">
        <v>3300.0</v>
      </c>
      <c r="H157" s="9">
        <v>3399.0</v>
      </c>
      <c r="I157" s="12" t="s">
        <v>1152</v>
      </c>
      <c r="J157" s="12" t="s">
        <v>422</v>
      </c>
      <c r="K157" s="20" t="s">
        <v>1153</v>
      </c>
      <c r="L157" s="14"/>
    </row>
    <row r="158" ht="12.75" customHeight="1">
      <c r="A158" s="98" t="s">
        <v>0</v>
      </c>
      <c r="B158" s="100" t="s">
        <v>1156</v>
      </c>
      <c r="C158" s="103" t="s">
        <v>1158</v>
      </c>
      <c r="D158" s="104">
        <v>13.582</v>
      </c>
      <c r="E158" s="103" t="s">
        <v>14</v>
      </c>
      <c r="F158" s="103" t="s">
        <v>502</v>
      </c>
      <c r="G158" s="103">
        <v>5400.0</v>
      </c>
      <c r="H158" s="103">
        <v>5499.0</v>
      </c>
      <c r="I158" s="106" t="s">
        <v>149</v>
      </c>
      <c r="J158" s="106"/>
      <c r="K158" s="107" t="s">
        <v>508</v>
      </c>
      <c r="L158" s="108"/>
    </row>
    <row r="159" ht="12.75" customHeight="1">
      <c r="A159" s="98" t="s">
        <v>0</v>
      </c>
      <c r="B159" s="100" t="s">
        <v>1166</v>
      </c>
      <c r="C159" s="103" t="s">
        <v>1168</v>
      </c>
      <c r="D159" s="104">
        <v>13.875</v>
      </c>
      <c r="E159" s="103" t="s">
        <v>14</v>
      </c>
      <c r="F159" s="103" t="s">
        <v>1170</v>
      </c>
      <c r="G159" s="103">
        <v>30000.0</v>
      </c>
      <c r="H159" s="103">
        <v>30099.0</v>
      </c>
      <c r="I159" s="106" t="s">
        <v>149</v>
      </c>
      <c r="J159" s="106"/>
      <c r="K159" s="107" t="s">
        <v>508</v>
      </c>
      <c r="L159" s="108"/>
    </row>
    <row r="160" ht="12.75" customHeight="1">
      <c r="A160" s="98" t="s">
        <v>0</v>
      </c>
      <c r="B160" s="100" t="s">
        <v>1186</v>
      </c>
      <c r="C160" s="103" t="s">
        <v>1189</v>
      </c>
      <c r="D160" s="104">
        <v>14.0</v>
      </c>
      <c r="E160" s="103" t="s">
        <v>14</v>
      </c>
      <c r="F160" s="103" t="s">
        <v>663</v>
      </c>
      <c r="G160" s="103">
        <v>6100.0</v>
      </c>
      <c r="H160" s="103">
        <v>6199.0</v>
      </c>
      <c r="I160" s="106" t="s">
        <v>149</v>
      </c>
      <c r="J160" s="106"/>
      <c r="K160" s="107" t="s">
        <v>508</v>
      </c>
      <c r="L160" s="108"/>
    </row>
    <row r="161" ht="12.75" customHeight="1">
      <c r="A161" s="98" t="s">
        <v>0</v>
      </c>
      <c r="B161" s="7" t="s">
        <v>1196</v>
      </c>
      <c r="C161" s="9" t="s">
        <v>1197</v>
      </c>
      <c r="D161" s="10">
        <v>14.038</v>
      </c>
      <c r="E161" s="9" t="s">
        <v>14</v>
      </c>
      <c r="F161" s="9" t="s">
        <v>1072</v>
      </c>
      <c r="G161" s="9">
        <v>600.0</v>
      </c>
      <c r="H161" s="9">
        <v>699.0</v>
      </c>
      <c r="I161" s="12" t="s">
        <v>149</v>
      </c>
      <c r="J161" s="12" t="s">
        <v>1200</v>
      </c>
      <c r="K161" s="9" t="s">
        <v>1201</v>
      </c>
      <c r="L161" s="14"/>
    </row>
    <row r="162" ht="12.75" customHeight="1">
      <c r="A162" s="98" t="s">
        <v>0</v>
      </c>
      <c r="B162" s="100" t="s">
        <v>1204</v>
      </c>
      <c r="C162" s="103" t="s">
        <v>1205</v>
      </c>
      <c r="D162" s="104">
        <v>14.077</v>
      </c>
      <c r="E162" s="103" t="s">
        <v>14</v>
      </c>
      <c r="F162" s="103" t="s">
        <v>1208</v>
      </c>
      <c r="G162" s="103">
        <v>27000.0</v>
      </c>
      <c r="H162" s="103">
        <v>27099.0</v>
      </c>
      <c r="I162" s="106" t="s">
        <v>149</v>
      </c>
      <c r="J162" s="106"/>
      <c r="K162" s="107" t="s">
        <v>508</v>
      </c>
      <c r="L162" s="108"/>
    </row>
    <row r="163" ht="12.75" customHeight="1">
      <c r="A163" s="98" t="s">
        <v>0</v>
      </c>
      <c r="B163" s="100" t="s">
        <v>1211</v>
      </c>
      <c r="C163" s="103" t="s">
        <v>1212</v>
      </c>
      <c r="D163" s="104">
        <v>14.167</v>
      </c>
      <c r="E163" s="103" t="s">
        <v>14</v>
      </c>
      <c r="F163" s="103" t="s">
        <v>1080</v>
      </c>
      <c r="G163" s="103">
        <v>6300.0</v>
      </c>
      <c r="H163" s="103">
        <v>6399.0</v>
      </c>
      <c r="I163" s="106" t="s">
        <v>149</v>
      </c>
      <c r="J163" s="106"/>
      <c r="K163" s="107" t="s">
        <v>508</v>
      </c>
      <c r="L163" s="108"/>
    </row>
    <row r="164" ht="12.75" customHeight="1">
      <c r="A164" s="98" t="s">
        <v>0</v>
      </c>
      <c r="B164" s="100" t="s">
        <v>1218</v>
      </c>
      <c r="C164" s="103" t="s">
        <v>1219</v>
      </c>
      <c r="D164" s="104">
        <v>14.389</v>
      </c>
      <c r="E164" s="103" t="s">
        <v>14</v>
      </c>
      <c r="F164" s="103" t="s">
        <v>1221</v>
      </c>
      <c r="G164" s="103">
        <v>14000.0</v>
      </c>
      <c r="H164" s="103">
        <v>14099.0</v>
      </c>
      <c r="I164" s="106" t="s">
        <v>149</v>
      </c>
      <c r="J164" s="106"/>
      <c r="K164" s="107" t="s">
        <v>508</v>
      </c>
      <c r="L164" s="108"/>
    </row>
    <row r="165" ht="12.75" customHeight="1">
      <c r="A165" s="98" t="s">
        <v>0</v>
      </c>
      <c r="B165" s="100" t="s">
        <v>1224</v>
      </c>
      <c r="C165" s="103" t="s">
        <v>1225</v>
      </c>
      <c r="D165" s="104">
        <v>14.394</v>
      </c>
      <c r="E165" s="103" t="s">
        <v>14</v>
      </c>
      <c r="F165" s="103" t="s">
        <v>1227</v>
      </c>
      <c r="G165" s="103">
        <v>15000.0</v>
      </c>
      <c r="H165" s="103">
        <v>15099.0</v>
      </c>
      <c r="I165" s="106" t="s">
        <v>149</v>
      </c>
      <c r="J165" s="106"/>
      <c r="K165" s="107" t="s">
        <v>508</v>
      </c>
      <c r="L165" s="108"/>
    </row>
    <row r="166" ht="12.75" customHeight="1">
      <c r="A166" s="98" t="s">
        <v>0</v>
      </c>
      <c r="B166" s="100" t="s">
        <v>1232</v>
      </c>
      <c r="C166" s="103" t="s">
        <v>1234</v>
      </c>
      <c r="D166" s="104">
        <v>14.4</v>
      </c>
      <c r="E166" s="103" t="s">
        <v>14</v>
      </c>
      <c r="F166" s="103" t="s">
        <v>1235</v>
      </c>
      <c r="G166" s="103">
        <v>8700.0</v>
      </c>
      <c r="H166" s="103">
        <v>8799.0</v>
      </c>
      <c r="I166" s="106" t="s">
        <v>149</v>
      </c>
      <c r="J166" s="106"/>
      <c r="K166" s="107" t="s">
        <v>508</v>
      </c>
      <c r="L166" s="108"/>
    </row>
    <row r="167" ht="12.75" customHeight="1">
      <c r="A167" s="98" t="s">
        <v>0</v>
      </c>
      <c r="B167" s="100" t="s">
        <v>1238</v>
      </c>
      <c r="C167" s="103" t="s">
        <v>1240</v>
      </c>
      <c r="D167" s="104">
        <v>14.875</v>
      </c>
      <c r="E167" s="103" t="s">
        <v>14</v>
      </c>
      <c r="F167" s="103" t="s">
        <v>1243</v>
      </c>
      <c r="G167" s="103">
        <v>11700.0</v>
      </c>
      <c r="H167" s="103">
        <v>11799.0</v>
      </c>
      <c r="I167" s="106" t="s">
        <v>149</v>
      </c>
      <c r="J167" s="106"/>
      <c r="K167" s="107" t="s">
        <v>508</v>
      </c>
      <c r="L167" s="108"/>
    </row>
    <row r="168" ht="12.75" customHeight="1">
      <c r="A168" s="98" t="s">
        <v>0</v>
      </c>
      <c r="B168" s="7" t="s">
        <v>1246</v>
      </c>
      <c r="C168" s="9" t="s">
        <v>1247</v>
      </c>
      <c r="D168" s="10">
        <v>14.957</v>
      </c>
      <c r="E168" s="9" t="s">
        <v>14</v>
      </c>
      <c r="F168" s="9" t="s">
        <v>1248</v>
      </c>
      <c r="G168" s="9">
        <v>2000.0</v>
      </c>
      <c r="H168" s="9">
        <v>2099.0</v>
      </c>
      <c r="I168" s="12" t="s">
        <v>149</v>
      </c>
      <c r="J168" s="12" t="s">
        <v>646</v>
      </c>
      <c r="K168" s="9" t="s">
        <v>1249</v>
      </c>
      <c r="L168" s="14"/>
    </row>
    <row r="169" ht="12.75" customHeight="1">
      <c r="A169" s="98" t="s">
        <v>0</v>
      </c>
      <c r="B169" s="100" t="s">
        <v>1251</v>
      </c>
      <c r="C169" s="103" t="s">
        <v>1252</v>
      </c>
      <c r="D169" s="104">
        <v>15.0</v>
      </c>
      <c r="E169" s="103" t="s">
        <v>14</v>
      </c>
      <c r="F169" s="103" t="s">
        <v>1254</v>
      </c>
      <c r="G169" s="103">
        <v>4300.0</v>
      </c>
      <c r="H169" s="103">
        <v>4399.0</v>
      </c>
      <c r="I169" s="106" t="s">
        <v>149</v>
      </c>
      <c r="J169" s="106"/>
      <c r="K169" s="107" t="s">
        <v>508</v>
      </c>
      <c r="L169" s="108"/>
    </row>
    <row r="170" ht="12.75" customHeight="1">
      <c r="A170" s="98" t="s">
        <v>0</v>
      </c>
      <c r="B170" s="100" t="s">
        <v>1257</v>
      </c>
      <c r="C170" s="103" t="s">
        <v>1259</v>
      </c>
      <c r="D170" s="104">
        <v>15.067</v>
      </c>
      <c r="E170" s="103" t="s">
        <v>14</v>
      </c>
      <c r="F170" s="103" t="s">
        <v>549</v>
      </c>
      <c r="G170" s="103">
        <v>25600.0</v>
      </c>
      <c r="H170" s="103">
        <v>25699.0</v>
      </c>
      <c r="I170" s="106" t="s">
        <v>149</v>
      </c>
      <c r="J170" s="106"/>
      <c r="K170" s="107" t="s">
        <v>508</v>
      </c>
      <c r="L170" s="108"/>
    </row>
    <row r="171" ht="12.75" customHeight="1">
      <c r="A171" s="98" t="s">
        <v>0</v>
      </c>
      <c r="B171" s="100" t="s">
        <v>1261</v>
      </c>
      <c r="C171" s="103" t="s">
        <v>1262</v>
      </c>
      <c r="D171" s="104">
        <v>15.429</v>
      </c>
      <c r="E171" s="103" t="s">
        <v>14</v>
      </c>
      <c r="F171" s="103" t="s">
        <v>794</v>
      </c>
      <c r="G171" s="103">
        <v>6400.0</v>
      </c>
      <c r="H171" s="103">
        <v>6499.0</v>
      </c>
      <c r="I171" s="106" t="s">
        <v>149</v>
      </c>
      <c r="J171" s="106"/>
      <c r="K171" s="107" t="s">
        <v>508</v>
      </c>
      <c r="L171" s="108"/>
    </row>
    <row r="172" ht="12.75" customHeight="1">
      <c r="A172" s="98" t="s">
        <v>0</v>
      </c>
      <c r="B172" s="100" t="s">
        <v>1265</v>
      </c>
      <c r="C172" s="103" t="s">
        <v>1266</v>
      </c>
      <c r="D172" s="104">
        <v>15.833</v>
      </c>
      <c r="E172" s="103" t="s">
        <v>14</v>
      </c>
      <c r="F172" s="103" t="s">
        <v>965</v>
      </c>
      <c r="G172" s="103">
        <v>5100.0</v>
      </c>
      <c r="H172" s="103">
        <v>5199.0</v>
      </c>
      <c r="I172" s="106" t="s">
        <v>149</v>
      </c>
      <c r="J172" s="106"/>
      <c r="K172" s="107" t="s">
        <v>508</v>
      </c>
      <c r="L172" s="108"/>
    </row>
    <row r="173" ht="12.75" customHeight="1">
      <c r="A173" s="98" t="s">
        <v>0</v>
      </c>
      <c r="B173" s="100" t="s">
        <v>1267</v>
      </c>
      <c r="C173" s="103" t="s">
        <v>1268</v>
      </c>
      <c r="D173" s="104">
        <v>16.143</v>
      </c>
      <c r="E173" s="103" t="s">
        <v>14</v>
      </c>
      <c r="F173" s="103" t="s">
        <v>549</v>
      </c>
      <c r="G173" s="103">
        <v>25500.0</v>
      </c>
      <c r="H173" s="103">
        <v>25599.0</v>
      </c>
      <c r="I173" s="106" t="s">
        <v>149</v>
      </c>
      <c r="J173" s="106"/>
      <c r="K173" s="107" t="s">
        <v>508</v>
      </c>
      <c r="L173" s="108"/>
    </row>
    <row r="174" ht="12.75" customHeight="1">
      <c r="A174" s="98" t="s">
        <v>0</v>
      </c>
      <c r="B174" s="100" t="s">
        <v>1272</v>
      </c>
      <c r="C174" s="103" t="s">
        <v>1273</v>
      </c>
      <c r="D174" s="104">
        <v>16.171</v>
      </c>
      <c r="E174" s="103" t="s">
        <v>14</v>
      </c>
      <c r="F174" s="103" t="s">
        <v>1274</v>
      </c>
      <c r="G174" s="103">
        <v>7500.0</v>
      </c>
      <c r="H174" s="103">
        <v>7599.0</v>
      </c>
      <c r="I174" s="106" t="s">
        <v>149</v>
      </c>
      <c r="J174" s="106"/>
      <c r="K174" s="107" t="s">
        <v>508</v>
      </c>
      <c r="L174" s="108"/>
    </row>
    <row r="175" ht="12.75" customHeight="1">
      <c r="A175" s="98" t="s">
        <v>0</v>
      </c>
      <c r="B175" s="100" t="s">
        <v>1276</v>
      </c>
      <c r="C175" s="103" t="s">
        <v>1277</v>
      </c>
      <c r="D175" s="104">
        <v>16.297</v>
      </c>
      <c r="E175" s="103" t="s">
        <v>14</v>
      </c>
      <c r="F175" s="103" t="s">
        <v>1280</v>
      </c>
      <c r="G175" s="103">
        <v>12000.0</v>
      </c>
      <c r="H175" s="103">
        <v>12099.0</v>
      </c>
      <c r="I175" s="106" t="s">
        <v>149</v>
      </c>
      <c r="J175" s="106"/>
      <c r="K175" s="107" t="s">
        <v>508</v>
      </c>
      <c r="L175" s="108"/>
    </row>
    <row r="176" ht="12.75" customHeight="1">
      <c r="A176" s="98" t="s">
        <v>0</v>
      </c>
      <c r="B176" s="100" t="s">
        <v>1281</v>
      </c>
      <c r="C176" s="103" t="s">
        <v>1282</v>
      </c>
      <c r="D176" s="104">
        <v>16.3</v>
      </c>
      <c r="E176" s="103" t="s">
        <v>14</v>
      </c>
      <c r="F176" s="103" t="s">
        <v>1283</v>
      </c>
      <c r="G176" s="103">
        <v>24800.0</v>
      </c>
      <c r="H176" s="103">
        <v>24899.0</v>
      </c>
      <c r="I176" s="106" t="s">
        <v>149</v>
      </c>
      <c r="J176" s="106"/>
      <c r="K176" s="107" t="s">
        <v>508</v>
      </c>
      <c r="L176" s="108"/>
    </row>
    <row r="177" ht="12.75" customHeight="1">
      <c r="A177" s="98" t="s">
        <v>0</v>
      </c>
      <c r="B177" s="7" t="s">
        <v>1285</v>
      </c>
      <c r="C177" s="9" t="s">
        <v>1286</v>
      </c>
      <c r="D177" s="10">
        <v>16.523</v>
      </c>
      <c r="E177" s="9" t="s">
        <v>14</v>
      </c>
      <c r="F177" s="9" t="s">
        <v>631</v>
      </c>
      <c r="G177" s="9">
        <v>2500.0</v>
      </c>
      <c r="H177" s="9">
        <v>2599.0</v>
      </c>
      <c r="I177" s="12" t="s">
        <v>1289</v>
      </c>
      <c r="J177" s="12" t="s">
        <v>39</v>
      </c>
      <c r="K177" s="9" t="s">
        <v>1290</v>
      </c>
      <c r="L177" s="14"/>
    </row>
    <row r="178" ht="12.75" customHeight="1">
      <c r="A178" s="98" t="s">
        <v>0</v>
      </c>
      <c r="B178" s="7" t="s">
        <v>1291</v>
      </c>
      <c r="C178" s="9" t="s">
        <v>1292</v>
      </c>
      <c r="D178" s="10">
        <v>16.71</v>
      </c>
      <c r="E178" s="9" t="s">
        <v>14</v>
      </c>
      <c r="F178" s="9" t="s">
        <v>698</v>
      </c>
      <c r="G178" s="9">
        <v>2200.0</v>
      </c>
      <c r="H178" s="9">
        <v>2299.0</v>
      </c>
      <c r="I178" s="12" t="s">
        <v>1293</v>
      </c>
      <c r="J178" s="12" t="s">
        <v>39</v>
      </c>
      <c r="K178" s="9" t="s">
        <v>1295</v>
      </c>
      <c r="L178" s="14"/>
    </row>
    <row r="179" ht="12.75" customHeight="1">
      <c r="A179" s="98" t="s">
        <v>0</v>
      </c>
      <c r="B179" s="100" t="s">
        <v>1296</v>
      </c>
      <c r="C179" s="103" t="s">
        <v>1297</v>
      </c>
      <c r="D179" s="104">
        <v>16.75</v>
      </c>
      <c r="E179" s="103" t="s">
        <v>14</v>
      </c>
      <c r="F179" s="103" t="s">
        <v>1072</v>
      </c>
      <c r="G179" s="103">
        <v>23300.0</v>
      </c>
      <c r="H179" s="103">
        <v>23399.0</v>
      </c>
      <c r="I179" s="106" t="s">
        <v>149</v>
      </c>
      <c r="J179" s="106"/>
      <c r="K179" s="107" t="s">
        <v>508</v>
      </c>
      <c r="L179" s="108"/>
    </row>
    <row r="180" ht="12.75" customHeight="1">
      <c r="A180" s="98" t="s">
        <v>0</v>
      </c>
      <c r="B180" s="100" t="s">
        <v>1300</v>
      </c>
      <c r="C180" s="103" t="s">
        <v>1301</v>
      </c>
      <c r="D180" s="104">
        <v>16.985</v>
      </c>
      <c r="E180" s="103" t="s">
        <v>14</v>
      </c>
      <c r="F180" s="103" t="s">
        <v>549</v>
      </c>
      <c r="G180" s="103">
        <v>32500.0</v>
      </c>
      <c r="H180" s="103">
        <v>32599.0</v>
      </c>
      <c r="I180" s="106" t="s">
        <v>149</v>
      </c>
      <c r="J180" s="106"/>
      <c r="K180" s="107" t="s">
        <v>508</v>
      </c>
      <c r="L180" s="108"/>
    </row>
    <row r="181" ht="12.75" customHeight="1">
      <c r="A181" s="98" t="s">
        <v>0</v>
      </c>
      <c r="B181" s="100" t="s">
        <v>1302</v>
      </c>
      <c r="C181" s="103" t="s">
        <v>1303</v>
      </c>
      <c r="D181" s="104">
        <v>17.222</v>
      </c>
      <c r="E181" s="103" t="s">
        <v>14</v>
      </c>
      <c r="F181" s="103" t="s">
        <v>1305</v>
      </c>
      <c r="G181" s="103">
        <v>5300.0</v>
      </c>
      <c r="H181" s="103">
        <v>5399.0</v>
      </c>
      <c r="I181" s="106" t="s">
        <v>149</v>
      </c>
      <c r="J181" s="106"/>
      <c r="K181" s="107" t="s">
        <v>508</v>
      </c>
      <c r="L181" s="108"/>
    </row>
    <row r="182" ht="12.75" customHeight="1">
      <c r="A182" s="98" t="s">
        <v>0</v>
      </c>
      <c r="B182" s="100" t="s">
        <v>1308</v>
      </c>
      <c r="C182" s="103" t="s">
        <v>1309</v>
      </c>
      <c r="D182" s="104">
        <v>17.5</v>
      </c>
      <c r="E182" s="103" t="s">
        <v>14</v>
      </c>
      <c r="F182" s="103" t="s">
        <v>1310</v>
      </c>
      <c r="G182" s="103">
        <v>7600.0</v>
      </c>
      <c r="H182" s="103">
        <v>7699.0</v>
      </c>
      <c r="I182" s="106" t="s">
        <v>149</v>
      </c>
      <c r="J182" s="106"/>
      <c r="K182" s="107" t="s">
        <v>508</v>
      </c>
      <c r="L182" s="108"/>
    </row>
    <row r="183" ht="12.75" customHeight="1">
      <c r="A183" s="98" t="s">
        <v>0</v>
      </c>
      <c r="B183" s="100" t="s">
        <v>1311</v>
      </c>
      <c r="C183" s="103" t="s">
        <v>1313</v>
      </c>
      <c r="D183" s="104">
        <v>17.75</v>
      </c>
      <c r="E183" s="103" t="s">
        <v>14</v>
      </c>
      <c r="F183" s="103" t="s">
        <v>1314</v>
      </c>
      <c r="G183" s="103">
        <v>22000.0</v>
      </c>
      <c r="H183" s="103">
        <v>22099.0</v>
      </c>
      <c r="I183" s="106" t="s">
        <v>149</v>
      </c>
      <c r="J183" s="106"/>
      <c r="K183" s="107" t="s">
        <v>508</v>
      </c>
      <c r="L183" s="108"/>
    </row>
    <row r="184" ht="12.75" customHeight="1">
      <c r="A184" s="98" t="s">
        <v>0</v>
      </c>
      <c r="B184" s="100" t="s">
        <v>1317</v>
      </c>
      <c r="C184" s="103" t="s">
        <v>1318</v>
      </c>
      <c r="D184" s="104">
        <v>17.955</v>
      </c>
      <c r="E184" s="103" t="s">
        <v>14</v>
      </c>
      <c r="F184" s="103" t="s">
        <v>549</v>
      </c>
      <c r="G184" s="103">
        <v>32400.0</v>
      </c>
      <c r="H184" s="103">
        <v>32499.0</v>
      </c>
      <c r="I184" s="106" t="s">
        <v>149</v>
      </c>
      <c r="J184" s="106"/>
      <c r="K184" s="107" t="s">
        <v>508</v>
      </c>
      <c r="L184" s="108"/>
    </row>
    <row r="185" ht="12.75" customHeight="1">
      <c r="A185" s="98" t="s">
        <v>0</v>
      </c>
      <c r="B185" s="100" t="s">
        <v>1320</v>
      </c>
      <c r="C185" s="103" t="s">
        <v>1321</v>
      </c>
      <c r="D185" s="104">
        <v>18.176</v>
      </c>
      <c r="E185" s="103" t="s">
        <v>14</v>
      </c>
      <c r="F185" s="103" t="s">
        <v>1323</v>
      </c>
      <c r="G185" s="103">
        <v>23900.0</v>
      </c>
      <c r="H185" s="103">
        <v>23999.0</v>
      </c>
      <c r="I185" s="106" t="s">
        <v>149</v>
      </c>
      <c r="J185" s="106"/>
      <c r="K185" s="107" t="s">
        <v>508</v>
      </c>
      <c r="L185" s="108"/>
    </row>
    <row r="186" ht="12.75" customHeight="1">
      <c r="A186" s="98" t="s">
        <v>0</v>
      </c>
      <c r="B186" s="100" t="s">
        <v>1329</v>
      </c>
      <c r="C186" s="103" t="s">
        <v>1330</v>
      </c>
      <c r="D186" s="104">
        <v>18.338</v>
      </c>
      <c r="E186" s="103" t="s">
        <v>14</v>
      </c>
      <c r="F186" s="103" t="s">
        <v>624</v>
      </c>
      <c r="G186" s="103">
        <v>55500.0</v>
      </c>
      <c r="H186" s="103">
        <v>55599.0</v>
      </c>
      <c r="I186" s="106" t="s">
        <v>149</v>
      </c>
      <c r="J186" s="106"/>
      <c r="K186" s="107" t="s">
        <v>508</v>
      </c>
      <c r="L186" s="108"/>
    </row>
    <row r="187" ht="12.75" customHeight="1">
      <c r="A187" s="98" t="s">
        <v>0</v>
      </c>
      <c r="B187" s="100" t="s">
        <v>1332</v>
      </c>
      <c r="C187" s="103" t="s">
        <v>1333</v>
      </c>
      <c r="D187" s="104">
        <v>18.462</v>
      </c>
      <c r="E187" s="103" t="s">
        <v>14</v>
      </c>
      <c r="F187" s="103" t="s">
        <v>1335</v>
      </c>
      <c r="G187" s="103">
        <v>26900.0</v>
      </c>
      <c r="H187" s="103">
        <v>26999.0</v>
      </c>
      <c r="I187" s="106" t="s">
        <v>149</v>
      </c>
      <c r="J187" s="106"/>
      <c r="K187" s="107" t="s">
        <v>508</v>
      </c>
      <c r="L187" s="108"/>
    </row>
    <row r="188" ht="12.75" customHeight="1">
      <c r="A188" s="98" t="s">
        <v>0</v>
      </c>
      <c r="B188" s="100" t="s">
        <v>1336</v>
      </c>
      <c r="C188" s="103" t="s">
        <v>1337</v>
      </c>
      <c r="D188" s="104">
        <v>19.333</v>
      </c>
      <c r="E188" s="103" t="s">
        <v>14</v>
      </c>
      <c r="F188" s="103" t="s">
        <v>1338</v>
      </c>
      <c r="G188" s="103">
        <v>7900.0</v>
      </c>
      <c r="H188" s="103">
        <v>7999.0</v>
      </c>
      <c r="I188" s="106" t="s">
        <v>149</v>
      </c>
      <c r="J188" s="106"/>
      <c r="K188" s="107" t="s">
        <v>508</v>
      </c>
      <c r="L188" s="108"/>
    </row>
    <row r="189" ht="12.75" customHeight="1">
      <c r="A189" s="98" t="s">
        <v>0</v>
      </c>
      <c r="B189" s="100" t="s">
        <v>1339</v>
      </c>
      <c r="C189" s="103" t="s">
        <v>1340</v>
      </c>
      <c r="D189" s="104">
        <v>19.667</v>
      </c>
      <c r="E189" s="103" t="s">
        <v>14</v>
      </c>
      <c r="F189" s="103" t="s">
        <v>1341</v>
      </c>
      <c r="G189" s="103">
        <v>6500.0</v>
      </c>
      <c r="H189" s="103">
        <v>6599.0</v>
      </c>
      <c r="I189" s="106" t="s">
        <v>149</v>
      </c>
      <c r="J189" s="106"/>
      <c r="K189" s="107" t="s">
        <v>508</v>
      </c>
      <c r="L189" s="108"/>
    </row>
    <row r="190" ht="12.75" customHeight="1">
      <c r="A190" s="98" t="s">
        <v>0</v>
      </c>
      <c r="B190" s="100" t="s">
        <v>1343</v>
      </c>
      <c r="C190" s="103" t="s">
        <v>1344</v>
      </c>
      <c r="D190" s="104">
        <v>19.8</v>
      </c>
      <c r="E190" s="103" t="s">
        <v>14</v>
      </c>
      <c r="F190" s="103" t="s">
        <v>1345</v>
      </c>
      <c r="G190" s="103">
        <v>4200.0</v>
      </c>
      <c r="H190" s="103">
        <v>4299.0</v>
      </c>
      <c r="I190" s="106" t="s">
        <v>149</v>
      </c>
      <c r="J190" s="106"/>
      <c r="K190" s="107" t="s">
        <v>508</v>
      </c>
      <c r="L190" s="108"/>
    </row>
    <row r="191" ht="12.75" customHeight="1">
      <c r="A191" s="98" t="s">
        <v>0</v>
      </c>
      <c r="B191" s="100" t="s">
        <v>1346</v>
      </c>
      <c r="C191" s="103" t="s">
        <v>1347</v>
      </c>
      <c r="D191" s="104">
        <v>19.867</v>
      </c>
      <c r="E191" s="103" t="s">
        <v>14</v>
      </c>
      <c r="F191" s="103" t="s">
        <v>922</v>
      </c>
      <c r="G191" s="103">
        <v>25100.0</v>
      </c>
      <c r="H191" s="103">
        <v>25199.0</v>
      </c>
      <c r="I191" s="106" t="s">
        <v>149</v>
      </c>
      <c r="J191" s="106"/>
      <c r="K191" s="107" t="s">
        <v>508</v>
      </c>
      <c r="L191" s="108"/>
    </row>
    <row r="192" ht="12.75" customHeight="1">
      <c r="A192" s="98" t="s">
        <v>0</v>
      </c>
      <c r="B192" s="100" t="s">
        <v>1349</v>
      </c>
      <c r="C192" s="103" t="s">
        <v>1350</v>
      </c>
      <c r="D192" s="104">
        <v>19.882</v>
      </c>
      <c r="E192" s="103" t="s">
        <v>14</v>
      </c>
      <c r="F192" s="103" t="s">
        <v>770</v>
      </c>
      <c r="G192" s="103">
        <v>31000.0</v>
      </c>
      <c r="H192" s="103">
        <v>31099.0</v>
      </c>
      <c r="I192" s="106" t="s">
        <v>149</v>
      </c>
      <c r="J192" s="106"/>
      <c r="K192" s="107" t="s">
        <v>508</v>
      </c>
      <c r="L192" s="108"/>
    </row>
    <row r="193" ht="12.75" customHeight="1">
      <c r="A193" s="98" t="s">
        <v>0</v>
      </c>
      <c r="B193" s="100" t="s">
        <v>1351</v>
      </c>
      <c r="C193" s="103" t="s">
        <v>1352</v>
      </c>
      <c r="D193" s="104">
        <v>19.905</v>
      </c>
      <c r="E193" s="103" t="s">
        <v>14</v>
      </c>
      <c r="F193" s="103" t="s">
        <v>549</v>
      </c>
      <c r="G193" s="103">
        <v>31400.0</v>
      </c>
      <c r="H193" s="103">
        <v>31499.0</v>
      </c>
      <c r="I193" s="106" t="s">
        <v>149</v>
      </c>
      <c r="J193" s="106"/>
      <c r="K193" s="107" t="s">
        <v>508</v>
      </c>
      <c r="L193" s="108"/>
    </row>
    <row r="194" ht="12.75" customHeight="1">
      <c r="A194" s="98" t="s">
        <v>0</v>
      </c>
      <c r="B194" s="100" t="s">
        <v>1353</v>
      </c>
      <c r="C194" s="103" t="s">
        <v>1354</v>
      </c>
      <c r="D194" s="104">
        <v>20.0</v>
      </c>
      <c r="E194" s="103" t="s">
        <v>14</v>
      </c>
      <c r="F194" s="103" t="s">
        <v>549</v>
      </c>
      <c r="G194" s="103">
        <v>24500.0</v>
      </c>
      <c r="H194" s="103">
        <v>24599.0</v>
      </c>
      <c r="I194" s="106" t="s">
        <v>149</v>
      </c>
      <c r="J194" s="106"/>
      <c r="K194" s="107" t="s">
        <v>508</v>
      </c>
      <c r="L194" s="108"/>
    </row>
    <row r="195" ht="12.75" customHeight="1">
      <c r="A195" s="98" t="s">
        <v>0</v>
      </c>
      <c r="B195" s="100" t="s">
        <v>1355</v>
      </c>
      <c r="C195" s="103" t="s">
        <v>1356</v>
      </c>
      <c r="D195" s="104">
        <v>20.0</v>
      </c>
      <c r="E195" s="103" t="s">
        <v>14</v>
      </c>
      <c r="F195" s="103" t="s">
        <v>549</v>
      </c>
      <c r="G195" s="103">
        <v>25800.0</v>
      </c>
      <c r="H195" s="103">
        <v>25899.0</v>
      </c>
      <c r="I195" s="106" t="s">
        <v>149</v>
      </c>
      <c r="J195" s="106"/>
      <c r="K195" s="107" t="s">
        <v>508</v>
      </c>
      <c r="L195" s="108"/>
    </row>
    <row r="196" ht="12.75" customHeight="1">
      <c r="A196" s="98" t="s">
        <v>0</v>
      </c>
      <c r="B196" s="100" t="s">
        <v>1357</v>
      </c>
      <c r="C196" s="107" t="s">
        <v>1358</v>
      </c>
      <c r="D196" s="104">
        <v>20.444</v>
      </c>
      <c r="E196" s="103" t="s">
        <v>14</v>
      </c>
      <c r="F196" s="103" t="s">
        <v>1359</v>
      </c>
      <c r="G196" s="103">
        <v>20100.0</v>
      </c>
      <c r="H196" s="103">
        <v>20199.0</v>
      </c>
      <c r="I196" s="106" t="s">
        <v>149</v>
      </c>
      <c r="J196" s="106"/>
      <c r="K196" s="107" t="s">
        <v>508</v>
      </c>
      <c r="L196" s="108"/>
    </row>
    <row r="197" ht="12.75" customHeight="1">
      <c r="A197" s="98" t="s">
        <v>0</v>
      </c>
      <c r="B197" s="7" t="s">
        <v>1360</v>
      </c>
      <c r="C197" s="9" t="s">
        <v>1361</v>
      </c>
      <c r="D197" s="10">
        <v>20.959</v>
      </c>
      <c r="E197" s="9" t="s">
        <v>642</v>
      </c>
      <c r="F197" s="9" t="s">
        <v>643</v>
      </c>
      <c r="G197" s="9">
        <v>3000.0</v>
      </c>
      <c r="H197" s="9">
        <v>3099.0</v>
      </c>
      <c r="I197" s="12" t="s">
        <v>1362</v>
      </c>
      <c r="J197" s="12" t="s">
        <v>646</v>
      </c>
      <c r="K197" s="9" t="s">
        <v>958</v>
      </c>
      <c r="L197" s="14"/>
    </row>
    <row r="198" ht="12.75" customHeight="1">
      <c r="A198" s="98" t="s">
        <v>0</v>
      </c>
      <c r="B198" s="100" t="s">
        <v>1363</v>
      </c>
      <c r="C198" s="103" t="s">
        <v>1364</v>
      </c>
      <c r="D198" s="104">
        <v>21.111</v>
      </c>
      <c r="E198" s="103" t="s">
        <v>14</v>
      </c>
      <c r="F198" s="103" t="s">
        <v>1365</v>
      </c>
      <c r="G198" s="103">
        <v>10400.0</v>
      </c>
      <c r="H198" s="103">
        <v>10499.0</v>
      </c>
      <c r="I198" s="106" t="s">
        <v>149</v>
      </c>
      <c r="J198" s="106"/>
      <c r="K198" s="107" t="s">
        <v>508</v>
      </c>
      <c r="L198" s="108"/>
    </row>
    <row r="199" ht="12.75" customHeight="1">
      <c r="A199" s="98" t="s">
        <v>0</v>
      </c>
      <c r="B199" s="100" t="s">
        <v>1366</v>
      </c>
      <c r="C199" s="103" t="s">
        <v>1367</v>
      </c>
      <c r="D199" s="104">
        <v>21.13</v>
      </c>
      <c r="E199" s="103" t="s">
        <v>14</v>
      </c>
      <c r="F199" s="103" t="s">
        <v>549</v>
      </c>
      <c r="G199" s="103">
        <v>31800.0</v>
      </c>
      <c r="H199" s="103">
        <v>31899.0</v>
      </c>
      <c r="I199" s="106" t="s">
        <v>149</v>
      </c>
      <c r="J199" s="106"/>
      <c r="K199" s="107" t="s">
        <v>508</v>
      </c>
      <c r="L199" s="108"/>
    </row>
    <row r="200" ht="12.75" customHeight="1">
      <c r="A200" s="98" t="s">
        <v>0</v>
      </c>
      <c r="B200" s="100" t="s">
        <v>1368</v>
      </c>
      <c r="C200" s="103" t="s">
        <v>1369</v>
      </c>
      <c r="D200" s="104">
        <v>21.478</v>
      </c>
      <c r="E200" s="103" t="s">
        <v>14</v>
      </c>
      <c r="F200" s="103" t="s">
        <v>1370</v>
      </c>
      <c r="G200" s="103">
        <v>29100.0</v>
      </c>
      <c r="H200" s="103">
        <v>29199.0</v>
      </c>
      <c r="I200" s="106" t="s">
        <v>149</v>
      </c>
      <c r="J200" s="106"/>
      <c r="K200" s="107" t="s">
        <v>508</v>
      </c>
      <c r="L200" s="108"/>
    </row>
    <row r="201" ht="12.75" customHeight="1">
      <c r="A201" s="98" t="s">
        <v>0</v>
      </c>
      <c r="B201" s="100" t="s">
        <v>1372</v>
      </c>
      <c r="C201" s="103" t="s">
        <v>1373</v>
      </c>
      <c r="D201" s="104">
        <v>21.619</v>
      </c>
      <c r="E201" s="103" t="s">
        <v>14</v>
      </c>
      <c r="F201" s="103" t="s">
        <v>549</v>
      </c>
      <c r="G201" s="103">
        <v>32600.0</v>
      </c>
      <c r="H201" s="103">
        <v>32699.0</v>
      </c>
      <c r="I201" s="106" t="s">
        <v>149</v>
      </c>
      <c r="J201" s="106"/>
      <c r="K201" s="107" t="s">
        <v>508</v>
      </c>
      <c r="L201" s="108"/>
    </row>
    <row r="202" ht="12.75" customHeight="1">
      <c r="A202" s="98" t="s">
        <v>0</v>
      </c>
      <c r="B202" s="100" t="s">
        <v>1374</v>
      </c>
      <c r="C202" s="103" t="s">
        <v>1375</v>
      </c>
      <c r="D202" s="104">
        <v>21.887</v>
      </c>
      <c r="E202" s="103" t="s">
        <v>14</v>
      </c>
      <c r="F202" s="103" t="s">
        <v>549</v>
      </c>
      <c r="G202" s="103">
        <v>25700.0</v>
      </c>
      <c r="H202" s="103">
        <v>25799.0</v>
      </c>
      <c r="I202" s="106" t="s">
        <v>149</v>
      </c>
      <c r="J202" s="106"/>
      <c r="K202" s="107" t="s">
        <v>508</v>
      </c>
      <c r="L202" s="108"/>
    </row>
    <row r="203" ht="12.75" customHeight="1">
      <c r="A203" s="98" t="s">
        <v>0</v>
      </c>
      <c r="B203" s="100" t="s">
        <v>1376</v>
      </c>
      <c r="C203" s="103" t="s">
        <v>1377</v>
      </c>
      <c r="D203" s="104">
        <v>21.889</v>
      </c>
      <c r="E203" s="103" t="s">
        <v>14</v>
      </c>
      <c r="F203" s="103" t="s">
        <v>1378</v>
      </c>
      <c r="G203" s="103">
        <v>24700.0</v>
      </c>
      <c r="H203" s="103">
        <v>24799.0</v>
      </c>
      <c r="I203" s="106" t="s">
        <v>149</v>
      </c>
      <c r="J203" s="106"/>
      <c r="K203" s="107" t="s">
        <v>508</v>
      </c>
      <c r="L203" s="108"/>
    </row>
    <row r="204">
      <c r="A204" s="98" t="s">
        <v>0</v>
      </c>
      <c r="B204" s="170" t="s">
        <v>1379</v>
      </c>
      <c r="C204" s="171" t="s">
        <v>1380</v>
      </c>
      <c r="D204" s="104">
        <v>22.083</v>
      </c>
      <c r="E204" s="171" t="s">
        <v>14</v>
      </c>
      <c r="F204" s="171" t="s">
        <v>549</v>
      </c>
      <c r="G204" s="171">
        <v>31700.0</v>
      </c>
      <c r="H204" s="171">
        <v>31799.0</v>
      </c>
      <c r="I204" s="106" t="s">
        <v>149</v>
      </c>
      <c r="J204" s="106"/>
      <c r="K204" s="173" t="s">
        <v>508</v>
      </c>
      <c r="L204" s="174"/>
    </row>
    <row r="205" ht="12.75" customHeight="1">
      <c r="A205" s="98" t="s">
        <v>0</v>
      </c>
      <c r="B205" s="100" t="s">
        <v>1381</v>
      </c>
      <c r="C205" s="103" t="s">
        <v>1382</v>
      </c>
      <c r="D205" s="104">
        <v>22.125</v>
      </c>
      <c r="E205" s="103" t="s">
        <v>14</v>
      </c>
      <c r="F205" s="103" t="s">
        <v>685</v>
      </c>
      <c r="G205" s="103">
        <v>23200.0</v>
      </c>
      <c r="H205" s="103">
        <v>23299.0</v>
      </c>
      <c r="I205" s="106" t="s">
        <v>149</v>
      </c>
      <c r="J205" s="106"/>
      <c r="K205" s="107" t="s">
        <v>508</v>
      </c>
      <c r="L205" s="108"/>
    </row>
    <row r="206" ht="12.75" customHeight="1">
      <c r="A206" s="98" t="s">
        <v>0</v>
      </c>
      <c r="B206" s="100" t="s">
        <v>1384</v>
      </c>
      <c r="C206" s="103" t="s">
        <v>1385</v>
      </c>
      <c r="D206" s="104">
        <v>22.333</v>
      </c>
      <c r="E206" s="103" t="s">
        <v>14</v>
      </c>
      <c r="F206" s="103" t="s">
        <v>1386</v>
      </c>
      <c r="G206" s="103">
        <v>3600.0</v>
      </c>
      <c r="H206" s="103">
        <v>3699.0</v>
      </c>
      <c r="I206" s="106" t="s">
        <v>149</v>
      </c>
      <c r="J206" s="106"/>
      <c r="K206" s="107" t="s">
        <v>508</v>
      </c>
      <c r="L206" s="108"/>
    </row>
    <row r="207" ht="12.75" customHeight="1">
      <c r="A207" s="98" t="s">
        <v>0</v>
      </c>
      <c r="B207" s="100" t="s">
        <v>1387</v>
      </c>
      <c r="C207" s="103" t="s">
        <v>1388</v>
      </c>
      <c r="D207" s="104">
        <v>22.5</v>
      </c>
      <c r="E207" s="103" t="s">
        <v>14</v>
      </c>
      <c r="F207" s="103" t="s">
        <v>549</v>
      </c>
      <c r="G207" s="103">
        <v>26000.0</v>
      </c>
      <c r="H207" s="103">
        <v>26099.0</v>
      </c>
      <c r="I207" s="106" t="s">
        <v>149</v>
      </c>
      <c r="J207" s="106"/>
      <c r="K207" s="107" t="s">
        <v>508</v>
      </c>
      <c r="L207" s="108"/>
    </row>
    <row r="208" ht="12.75" customHeight="1">
      <c r="A208" s="98" t="s">
        <v>0</v>
      </c>
      <c r="B208" s="100" t="s">
        <v>1390</v>
      </c>
      <c r="C208" s="103" t="s">
        <v>1391</v>
      </c>
      <c r="D208" s="104">
        <v>22.5</v>
      </c>
      <c r="E208" s="103" t="s">
        <v>14</v>
      </c>
      <c r="F208" s="103" t="s">
        <v>556</v>
      </c>
      <c r="G208" s="103">
        <v>26700.0</v>
      </c>
      <c r="H208" s="103">
        <v>26799.0</v>
      </c>
      <c r="I208" s="106" t="s">
        <v>149</v>
      </c>
      <c r="J208" s="106"/>
      <c r="K208" s="107" t="s">
        <v>508</v>
      </c>
      <c r="L208" s="108"/>
    </row>
    <row r="209" ht="12.75" customHeight="1">
      <c r="A209" s="98" t="s">
        <v>0</v>
      </c>
      <c r="B209" s="100" t="s">
        <v>1392</v>
      </c>
      <c r="C209" s="103" t="s">
        <v>1393</v>
      </c>
      <c r="D209" s="104">
        <v>22.5</v>
      </c>
      <c r="E209" s="103" t="s">
        <v>14</v>
      </c>
      <c r="F209" s="103" t="s">
        <v>556</v>
      </c>
      <c r="G209" s="103">
        <v>27800.0</v>
      </c>
      <c r="H209" s="103">
        <v>27899.0</v>
      </c>
      <c r="I209" s="106" t="s">
        <v>149</v>
      </c>
      <c r="J209" s="106"/>
      <c r="K209" s="107" t="s">
        <v>508</v>
      </c>
      <c r="L209" s="108"/>
    </row>
    <row r="210" ht="12.75" customHeight="1">
      <c r="A210" s="98" t="s">
        <v>0</v>
      </c>
      <c r="B210" s="100" t="s">
        <v>1394</v>
      </c>
      <c r="C210" s="103" t="s">
        <v>1395</v>
      </c>
      <c r="D210" s="104">
        <v>23.105</v>
      </c>
      <c r="E210" s="103" t="s">
        <v>14</v>
      </c>
      <c r="F210" s="103" t="s">
        <v>549</v>
      </c>
      <c r="G210" s="103">
        <v>30700.0</v>
      </c>
      <c r="H210" s="103">
        <v>30799.0</v>
      </c>
      <c r="I210" s="106" t="s">
        <v>149</v>
      </c>
      <c r="J210" s="106"/>
      <c r="K210" s="107" t="s">
        <v>508</v>
      </c>
      <c r="L210" s="108"/>
    </row>
    <row r="211" ht="12.75" customHeight="1">
      <c r="A211" s="98" t="s">
        <v>0</v>
      </c>
      <c r="B211" s="100" t="s">
        <v>1396</v>
      </c>
      <c r="C211" s="103" t="s">
        <v>1397</v>
      </c>
      <c r="D211" s="104">
        <v>23.113</v>
      </c>
      <c r="E211" s="103" t="s">
        <v>14</v>
      </c>
      <c r="F211" s="103" t="s">
        <v>577</v>
      </c>
      <c r="G211" s="103">
        <v>28600.0</v>
      </c>
      <c r="H211" s="103">
        <v>28699.0</v>
      </c>
      <c r="I211" s="106" t="s">
        <v>149</v>
      </c>
      <c r="J211" s="106"/>
      <c r="K211" s="107" t="s">
        <v>508</v>
      </c>
      <c r="L211" s="108"/>
    </row>
    <row r="212" ht="12.75" customHeight="1">
      <c r="A212" s="98" t="s">
        <v>0</v>
      </c>
      <c r="B212" s="100" t="s">
        <v>1398</v>
      </c>
      <c r="C212" s="103" t="s">
        <v>1399</v>
      </c>
      <c r="D212" s="104">
        <v>23.393</v>
      </c>
      <c r="E212" s="103" t="s">
        <v>14</v>
      </c>
      <c r="F212" s="103" t="s">
        <v>549</v>
      </c>
      <c r="G212" s="103">
        <v>31500.0</v>
      </c>
      <c r="H212" s="103">
        <v>31599.0</v>
      </c>
      <c r="I212" s="106" t="s">
        <v>149</v>
      </c>
      <c r="J212" s="106"/>
      <c r="K212" s="107" t="s">
        <v>508</v>
      </c>
      <c r="L212" s="108"/>
    </row>
    <row r="213" ht="12.75" customHeight="1">
      <c r="A213" s="98" t="s">
        <v>0</v>
      </c>
      <c r="B213" s="100" t="s">
        <v>1401</v>
      </c>
      <c r="C213" s="103" t="s">
        <v>1402</v>
      </c>
      <c r="D213" s="104">
        <v>24.067</v>
      </c>
      <c r="E213" s="103" t="s">
        <v>14</v>
      </c>
      <c r="F213" s="103" t="s">
        <v>1403</v>
      </c>
      <c r="G213" s="103">
        <v>23800.0</v>
      </c>
      <c r="H213" s="103">
        <v>23899.0</v>
      </c>
      <c r="I213" s="106" t="s">
        <v>149</v>
      </c>
      <c r="J213" s="106"/>
      <c r="K213" s="107" t="s">
        <v>508</v>
      </c>
      <c r="L213" s="108"/>
    </row>
    <row r="214">
      <c r="A214" s="98" t="s">
        <v>0</v>
      </c>
      <c r="B214" s="100" t="s">
        <v>1404</v>
      </c>
      <c r="C214" s="103" t="s">
        <v>1405</v>
      </c>
      <c r="D214" s="104">
        <v>24.333</v>
      </c>
      <c r="E214" s="103" t="s">
        <v>14</v>
      </c>
      <c r="F214" s="103" t="s">
        <v>1406</v>
      </c>
      <c r="G214" s="103">
        <v>28300.0</v>
      </c>
      <c r="H214" s="103">
        <v>28399.0</v>
      </c>
      <c r="I214" s="106" t="s">
        <v>149</v>
      </c>
      <c r="J214" s="106"/>
      <c r="K214" s="107" t="s">
        <v>508</v>
      </c>
      <c r="L214" s="108"/>
    </row>
    <row r="215" ht="12.75" customHeight="1">
      <c r="A215" s="98" t="s">
        <v>0</v>
      </c>
      <c r="B215" s="100" t="s">
        <v>1407</v>
      </c>
      <c r="C215" s="103" t="s">
        <v>1408</v>
      </c>
      <c r="D215" s="104">
        <v>24.909</v>
      </c>
      <c r="E215" s="103" t="s">
        <v>14</v>
      </c>
      <c r="F215" s="103" t="s">
        <v>549</v>
      </c>
      <c r="G215" s="103">
        <v>32200.0</v>
      </c>
      <c r="H215" s="103">
        <v>32299.0</v>
      </c>
      <c r="I215" s="106" t="s">
        <v>149</v>
      </c>
      <c r="J215" s="106"/>
      <c r="K215" s="107" t="s">
        <v>508</v>
      </c>
      <c r="L215" s="108"/>
    </row>
    <row r="216" ht="12.75" customHeight="1">
      <c r="A216" s="98" t="s">
        <v>0</v>
      </c>
      <c r="B216" s="7" t="s">
        <v>1409</v>
      </c>
      <c r="C216" s="9" t="s">
        <v>1410</v>
      </c>
      <c r="D216" s="10">
        <v>25.292</v>
      </c>
      <c r="E216" s="9" t="s">
        <v>14</v>
      </c>
      <c r="F216" s="9" t="s">
        <v>1411</v>
      </c>
      <c r="G216" s="9">
        <v>1500.0</v>
      </c>
      <c r="H216" s="9">
        <v>1599.0</v>
      </c>
      <c r="I216" s="12" t="s">
        <v>1412</v>
      </c>
      <c r="J216" s="12" t="s">
        <v>422</v>
      </c>
      <c r="K216" s="9" t="s">
        <v>1413</v>
      </c>
      <c r="L216" s="14"/>
    </row>
    <row r="217" ht="12.75" customHeight="1">
      <c r="A217" s="98" t="s">
        <v>0</v>
      </c>
      <c r="B217" s="100" t="s">
        <v>1414</v>
      </c>
      <c r="C217" s="103" t="s">
        <v>1415</v>
      </c>
      <c r="D217" s="104">
        <v>25.826</v>
      </c>
      <c r="E217" s="103" t="s">
        <v>14</v>
      </c>
      <c r="F217" s="103" t="s">
        <v>549</v>
      </c>
      <c r="G217" s="103">
        <v>32300.0</v>
      </c>
      <c r="H217" s="103">
        <v>32399.0</v>
      </c>
      <c r="I217" s="106" t="s">
        <v>149</v>
      </c>
      <c r="J217" s="106"/>
      <c r="K217" s="107" t="s">
        <v>508</v>
      </c>
      <c r="L217" s="108"/>
    </row>
    <row r="218" ht="12.75" customHeight="1">
      <c r="A218" s="98" t="s">
        <v>0</v>
      </c>
      <c r="B218" s="100" t="s">
        <v>1416</v>
      </c>
      <c r="C218" s="103" t="s">
        <v>1417</v>
      </c>
      <c r="D218" s="104">
        <v>25.833</v>
      </c>
      <c r="E218" s="103" t="s">
        <v>14</v>
      </c>
      <c r="F218" s="103" t="s">
        <v>1418</v>
      </c>
      <c r="G218" s="103">
        <v>13000.0</v>
      </c>
      <c r="H218" s="103">
        <v>13099.0</v>
      </c>
      <c r="I218" s="106" t="s">
        <v>149</v>
      </c>
      <c r="J218" s="106"/>
      <c r="K218" s="107" t="s">
        <v>508</v>
      </c>
      <c r="L218" s="108"/>
    </row>
    <row r="219" ht="12.75" customHeight="1">
      <c r="A219" s="98" t="s">
        <v>0</v>
      </c>
      <c r="B219" s="100" t="s">
        <v>1420</v>
      </c>
      <c r="C219" s="103" t="s">
        <v>1421</v>
      </c>
      <c r="D219" s="104">
        <v>25.929</v>
      </c>
      <c r="E219" s="103" t="s">
        <v>14</v>
      </c>
      <c r="F219" s="103" t="s">
        <v>549</v>
      </c>
      <c r="G219" s="103">
        <v>26500.0</v>
      </c>
      <c r="H219" s="103">
        <v>26599.0</v>
      </c>
      <c r="I219" s="106" t="s">
        <v>149</v>
      </c>
      <c r="J219" s="106"/>
      <c r="K219" s="107" t="s">
        <v>508</v>
      </c>
      <c r="L219" s="108"/>
    </row>
    <row r="220" ht="12.75" customHeight="1">
      <c r="A220" s="98" t="s">
        <v>0</v>
      </c>
      <c r="B220" s="100" t="s">
        <v>1422</v>
      </c>
      <c r="C220" s="103" t="s">
        <v>1423</v>
      </c>
      <c r="D220" s="104">
        <v>25.95</v>
      </c>
      <c r="E220" s="103" t="s">
        <v>14</v>
      </c>
      <c r="F220" s="103" t="s">
        <v>1424</v>
      </c>
      <c r="G220" s="103">
        <v>24100.0</v>
      </c>
      <c r="H220" s="103">
        <v>24199.0</v>
      </c>
      <c r="I220" s="106" t="s">
        <v>149</v>
      </c>
      <c r="J220" s="106"/>
      <c r="K220" s="107" t="s">
        <v>508</v>
      </c>
      <c r="L220" s="108"/>
    </row>
    <row r="221" ht="12.75" customHeight="1">
      <c r="A221" s="98" t="s">
        <v>0</v>
      </c>
      <c r="B221" s="100" t="s">
        <v>1425</v>
      </c>
      <c r="C221" s="103" t="s">
        <v>1426</v>
      </c>
      <c r="D221" s="104">
        <v>26.067</v>
      </c>
      <c r="E221" s="103" t="s">
        <v>14</v>
      </c>
      <c r="F221" s="103" t="s">
        <v>549</v>
      </c>
      <c r="G221" s="103">
        <v>31100.0</v>
      </c>
      <c r="H221" s="103">
        <v>31199.0</v>
      </c>
      <c r="I221" s="106" t="s">
        <v>149</v>
      </c>
      <c r="J221" s="106"/>
      <c r="K221" s="107" t="s">
        <v>508</v>
      </c>
      <c r="L221" s="108"/>
    </row>
    <row r="222" ht="12.75" customHeight="1">
      <c r="A222" s="98" t="s">
        <v>0</v>
      </c>
      <c r="B222" s="100" t="s">
        <v>1427</v>
      </c>
      <c r="C222" s="103" t="s">
        <v>1428</v>
      </c>
      <c r="D222" s="104">
        <v>26.143</v>
      </c>
      <c r="E222" s="103" t="s">
        <v>14</v>
      </c>
      <c r="F222" s="103" t="s">
        <v>549</v>
      </c>
      <c r="G222" s="103">
        <v>25200.0</v>
      </c>
      <c r="H222" s="103">
        <v>25299.0</v>
      </c>
      <c r="I222" s="106" t="s">
        <v>149</v>
      </c>
      <c r="J222" s="106"/>
      <c r="K222" s="107" t="s">
        <v>508</v>
      </c>
      <c r="L222" s="108"/>
    </row>
    <row r="223" ht="12.75" customHeight="1">
      <c r="A223" s="98" t="s">
        <v>0</v>
      </c>
      <c r="B223" s="100" t="s">
        <v>1429</v>
      </c>
      <c r="C223" s="103" t="s">
        <v>1430</v>
      </c>
      <c r="D223" s="104">
        <v>26.789</v>
      </c>
      <c r="E223" s="103" t="s">
        <v>14</v>
      </c>
      <c r="F223" s="103" t="s">
        <v>549</v>
      </c>
      <c r="G223" s="103">
        <v>31200.0</v>
      </c>
      <c r="H223" s="103">
        <v>31299.0</v>
      </c>
      <c r="I223" s="106" t="s">
        <v>149</v>
      </c>
      <c r="J223" s="106"/>
      <c r="K223" s="107" t="s">
        <v>508</v>
      </c>
      <c r="L223" s="108"/>
    </row>
    <row r="224" ht="12.75" customHeight="1">
      <c r="A224" s="98" t="s">
        <v>0</v>
      </c>
      <c r="B224" s="100" t="s">
        <v>1431</v>
      </c>
      <c r="C224" s="103" t="s">
        <v>1432</v>
      </c>
      <c r="D224" s="104">
        <v>26.93</v>
      </c>
      <c r="E224" s="103" t="s">
        <v>14</v>
      </c>
      <c r="F224" s="103" t="s">
        <v>549</v>
      </c>
      <c r="G224" s="103">
        <v>30900.0</v>
      </c>
      <c r="H224" s="103">
        <v>30999.0</v>
      </c>
      <c r="I224" s="106" t="s">
        <v>149</v>
      </c>
      <c r="J224" s="106"/>
      <c r="K224" s="107" t="s">
        <v>508</v>
      </c>
      <c r="L224" s="108"/>
    </row>
    <row r="225" ht="12.75" customHeight="1">
      <c r="A225" s="98" t="s">
        <v>0</v>
      </c>
      <c r="B225" s="100" t="s">
        <v>1433</v>
      </c>
      <c r="C225" s="103" t="s">
        <v>1434</v>
      </c>
      <c r="D225" s="104">
        <v>27.0</v>
      </c>
      <c r="E225" s="103" t="s">
        <v>14</v>
      </c>
      <c r="F225" s="103" t="s">
        <v>549</v>
      </c>
      <c r="G225" s="103">
        <v>31900.0</v>
      </c>
      <c r="H225" s="103">
        <v>31999.0</v>
      </c>
      <c r="I225" s="106" t="s">
        <v>149</v>
      </c>
      <c r="J225" s="106"/>
      <c r="K225" s="107" t="s">
        <v>508</v>
      </c>
      <c r="L225" s="108"/>
    </row>
    <row r="226" ht="12.75" customHeight="1">
      <c r="A226" s="98" t="s">
        <v>0</v>
      </c>
      <c r="B226" s="100" t="s">
        <v>1435</v>
      </c>
      <c r="C226" s="103" t="s">
        <v>1436</v>
      </c>
      <c r="D226" s="104">
        <v>27.444</v>
      </c>
      <c r="E226" s="103" t="s">
        <v>14</v>
      </c>
      <c r="F226" s="103" t="s">
        <v>1437</v>
      </c>
      <c r="G226" s="103">
        <v>27300.0</v>
      </c>
      <c r="H226" s="103">
        <v>27399.0</v>
      </c>
      <c r="I226" s="106" t="s">
        <v>149</v>
      </c>
      <c r="J226" s="106"/>
      <c r="K226" s="107" t="s">
        <v>508</v>
      </c>
      <c r="L226" s="108"/>
    </row>
    <row r="227" ht="12.75" customHeight="1">
      <c r="A227" s="98" t="s">
        <v>0</v>
      </c>
      <c r="B227" s="100" t="s">
        <v>1438</v>
      </c>
      <c r="C227" s="103" t="s">
        <v>1439</v>
      </c>
      <c r="D227" s="193">
        <v>27.889</v>
      </c>
      <c r="E227" s="103" t="s">
        <v>14</v>
      </c>
      <c r="F227" s="103" t="s">
        <v>549</v>
      </c>
      <c r="G227" s="103">
        <v>25900.0</v>
      </c>
      <c r="H227" s="103">
        <v>25999.0</v>
      </c>
      <c r="I227" s="195" t="s">
        <v>149</v>
      </c>
      <c r="J227" s="195"/>
      <c r="K227" s="107" t="s">
        <v>508</v>
      </c>
      <c r="L227" s="108"/>
    </row>
    <row r="228" ht="12.75" customHeight="1">
      <c r="A228" s="98" t="s">
        <v>0</v>
      </c>
      <c r="B228" s="100" t="s">
        <v>1440</v>
      </c>
      <c r="C228" s="103" t="s">
        <v>1441</v>
      </c>
      <c r="D228" s="104">
        <v>28.143</v>
      </c>
      <c r="E228" s="103" t="s">
        <v>14</v>
      </c>
      <c r="F228" s="103" t="s">
        <v>549</v>
      </c>
      <c r="G228" s="103">
        <v>26600.0</v>
      </c>
      <c r="H228" s="103">
        <v>26699.0</v>
      </c>
      <c r="I228" s="106" t="s">
        <v>149</v>
      </c>
      <c r="J228" s="106"/>
      <c r="K228" s="107" t="s">
        <v>508</v>
      </c>
      <c r="L228" s="108"/>
    </row>
    <row r="229" ht="12.75" customHeight="1">
      <c r="A229" s="98" t="s">
        <v>0</v>
      </c>
      <c r="B229" s="100" t="s">
        <v>1442</v>
      </c>
      <c r="C229" s="103" t="s">
        <v>1444</v>
      </c>
      <c r="D229" s="104">
        <v>28.619</v>
      </c>
      <c r="E229" s="103" t="s">
        <v>14</v>
      </c>
      <c r="F229" s="103" t="s">
        <v>549</v>
      </c>
      <c r="G229" s="103">
        <v>31600.0</v>
      </c>
      <c r="H229" s="103">
        <v>31699.0</v>
      </c>
      <c r="I229" s="106" t="s">
        <v>149</v>
      </c>
      <c r="J229" s="106"/>
      <c r="K229" s="107" t="s">
        <v>508</v>
      </c>
      <c r="L229" s="108"/>
    </row>
    <row r="230" ht="12.75" customHeight="1">
      <c r="A230" s="98" t="s">
        <v>0</v>
      </c>
      <c r="B230" s="100" t="s">
        <v>1445</v>
      </c>
      <c r="C230" s="103" t="s">
        <v>1446</v>
      </c>
      <c r="D230" s="104">
        <v>28.75</v>
      </c>
      <c r="E230" s="103" t="s">
        <v>14</v>
      </c>
      <c r="F230" s="103" t="s">
        <v>1447</v>
      </c>
      <c r="G230" s="103">
        <v>28000.0</v>
      </c>
      <c r="H230" s="103">
        <v>28099.0</v>
      </c>
      <c r="I230" s="106" t="s">
        <v>149</v>
      </c>
      <c r="J230" s="106"/>
      <c r="K230" s="107" t="s">
        <v>508</v>
      </c>
      <c r="L230" s="108"/>
    </row>
    <row r="231" ht="12.75" customHeight="1">
      <c r="A231" s="98" t="s">
        <v>0</v>
      </c>
      <c r="B231" s="100" t="s">
        <v>1450</v>
      </c>
      <c r="C231" s="103" t="s">
        <v>1451</v>
      </c>
      <c r="D231" s="104">
        <v>29.0</v>
      </c>
      <c r="E231" s="103" t="s">
        <v>14</v>
      </c>
      <c r="F231" s="103" t="s">
        <v>1072</v>
      </c>
      <c r="G231" s="103">
        <v>25000.0</v>
      </c>
      <c r="H231" s="103">
        <v>25099.0</v>
      </c>
      <c r="I231" s="106" t="s">
        <v>149</v>
      </c>
      <c r="J231" s="106"/>
      <c r="K231" s="107" t="s">
        <v>508</v>
      </c>
      <c r="L231" s="108"/>
    </row>
    <row r="232" ht="12.75" customHeight="1">
      <c r="A232" s="98" t="s">
        <v>0</v>
      </c>
      <c r="B232" s="100" t="s">
        <v>1452</v>
      </c>
      <c r="C232" s="103" t="s">
        <v>1453</v>
      </c>
      <c r="D232" s="104">
        <v>29.211</v>
      </c>
      <c r="E232" s="103" t="s">
        <v>14</v>
      </c>
      <c r="F232" s="103" t="s">
        <v>549</v>
      </c>
      <c r="G232" s="103">
        <v>30800.0</v>
      </c>
      <c r="H232" s="103">
        <v>30899.0</v>
      </c>
      <c r="I232" s="106" t="s">
        <v>149</v>
      </c>
      <c r="J232" s="106"/>
      <c r="K232" s="107" t="s">
        <v>508</v>
      </c>
      <c r="L232" s="108"/>
    </row>
    <row r="233" ht="12.75" customHeight="1">
      <c r="A233" s="98" t="s">
        <v>0</v>
      </c>
      <c r="B233" s="100" t="s">
        <v>1454</v>
      </c>
      <c r="C233" s="103" t="s">
        <v>1455</v>
      </c>
      <c r="D233" s="104">
        <v>30.0</v>
      </c>
      <c r="E233" s="103" t="s">
        <v>14</v>
      </c>
      <c r="F233" s="103" t="s">
        <v>922</v>
      </c>
      <c r="G233" s="103">
        <v>24400.0</v>
      </c>
      <c r="H233" s="103">
        <v>24499.0</v>
      </c>
      <c r="I233" s="106" t="s">
        <v>149</v>
      </c>
      <c r="J233" s="106"/>
      <c r="K233" s="107" t="s">
        <v>508</v>
      </c>
      <c r="L233" s="108"/>
    </row>
    <row r="234" ht="12.75" customHeight="1">
      <c r="A234" s="98" t="s">
        <v>0</v>
      </c>
      <c r="B234" s="100" t="s">
        <v>1456</v>
      </c>
      <c r="C234" s="103" t="s">
        <v>1457</v>
      </c>
      <c r="D234" s="104">
        <v>30.0</v>
      </c>
      <c r="E234" s="103" t="s">
        <v>14</v>
      </c>
      <c r="F234" s="103" t="s">
        <v>1458</v>
      </c>
      <c r="G234" s="103">
        <v>24900.0</v>
      </c>
      <c r="H234" s="103">
        <v>24999.0</v>
      </c>
      <c r="I234" s="106" t="s">
        <v>149</v>
      </c>
      <c r="J234" s="106"/>
      <c r="K234" s="107" t="s">
        <v>508</v>
      </c>
      <c r="L234" s="108"/>
    </row>
    <row r="235" ht="12.75" customHeight="1">
      <c r="A235" s="98" t="s">
        <v>0</v>
      </c>
      <c r="B235" s="7" t="s">
        <v>1459</v>
      </c>
      <c r="C235" s="9" t="s">
        <v>1460</v>
      </c>
      <c r="D235" s="10">
        <v>30.2</v>
      </c>
      <c r="E235" s="9" t="s">
        <v>14</v>
      </c>
      <c r="F235" s="9" t="s">
        <v>1461</v>
      </c>
      <c r="G235" s="9">
        <v>28400.0</v>
      </c>
      <c r="H235" s="9">
        <v>28499.0</v>
      </c>
      <c r="I235" s="12" t="s">
        <v>149</v>
      </c>
      <c r="J235" s="12"/>
      <c r="K235" s="20" t="s">
        <v>1462</v>
      </c>
      <c r="L235" s="14"/>
    </row>
    <row r="236">
      <c r="A236" s="98" t="s">
        <v>0</v>
      </c>
      <c r="B236" s="170" t="s">
        <v>1463</v>
      </c>
      <c r="C236" s="171" t="s">
        <v>1464</v>
      </c>
      <c r="D236" s="104">
        <v>30.312</v>
      </c>
      <c r="E236" s="171" t="s">
        <v>14</v>
      </c>
      <c r="F236" s="171" t="s">
        <v>1465</v>
      </c>
      <c r="G236" s="171">
        <v>28800.0</v>
      </c>
      <c r="H236" s="171">
        <v>28899.0</v>
      </c>
      <c r="I236" s="106" t="s">
        <v>149</v>
      </c>
      <c r="J236" s="106"/>
      <c r="K236" s="173" t="s">
        <v>508</v>
      </c>
      <c r="L236" s="174"/>
    </row>
    <row r="237" ht="12.75" customHeight="1">
      <c r="A237" s="98" t="s">
        <v>0</v>
      </c>
      <c r="B237" s="7" t="s">
        <v>1466</v>
      </c>
      <c r="C237" s="9" t="s">
        <v>1467</v>
      </c>
      <c r="D237" s="10">
        <v>31.462</v>
      </c>
      <c r="E237" s="9" t="s">
        <v>14</v>
      </c>
      <c r="F237" s="9" t="s">
        <v>1248</v>
      </c>
      <c r="G237" s="9">
        <v>1800.0</v>
      </c>
      <c r="H237" s="9">
        <v>1899.0</v>
      </c>
      <c r="I237" s="12" t="s">
        <v>149</v>
      </c>
      <c r="J237" s="12" t="s">
        <v>1468</v>
      </c>
      <c r="K237" s="20" t="s">
        <v>1469</v>
      </c>
      <c r="L237" s="14"/>
    </row>
    <row r="238" ht="12.75" customHeight="1">
      <c r="A238" s="98" t="s">
        <v>0</v>
      </c>
      <c r="B238" s="100" t="s">
        <v>1470</v>
      </c>
      <c r="C238" s="103" t="s">
        <v>1471</v>
      </c>
      <c r="D238" s="104">
        <v>31.857</v>
      </c>
      <c r="E238" s="103" t="s">
        <v>14</v>
      </c>
      <c r="F238" s="103" t="s">
        <v>1472</v>
      </c>
      <c r="G238" s="103">
        <v>28200.0</v>
      </c>
      <c r="H238" s="103">
        <v>28299.0</v>
      </c>
      <c r="I238" s="106" t="s">
        <v>149</v>
      </c>
      <c r="J238" s="106"/>
      <c r="K238" s="107" t="s">
        <v>508</v>
      </c>
      <c r="L238" s="108"/>
    </row>
    <row r="239" ht="12.75" customHeight="1">
      <c r="A239" s="98" t="s">
        <v>0</v>
      </c>
      <c r="B239" s="100" t="s">
        <v>1473</v>
      </c>
      <c r="C239" s="103" t="s">
        <v>1474</v>
      </c>
      <c r="D239" s="104">
        <v>32.143</v>
      </c>
      <c r="E239" s="103" t="s">
        <v>14</v>
      </c>
      <c r="F239" s="103" t="s">
        <v>549</v>
      </c>
      <c r="G239" s="103">
        <v>26400.0</v>
      </c>
      <c r="H239" s="103">
        <v>26499.0</v>
      </c>
      <c r="I239" s="106" t="s">
        <v>149</v>
      </c>
      <c r="J239" s="106"/>
      <c r="K239" s="107" t="s">
        <v>508</v>
      </c>
      <c r="L239" s="108"/>
    </row>
    <row r="240" ht="12.75" customHeight="1">
      <c r="A240" s="203"/>
      <c r="B240" s="204">
        <v>0.0</v>
      </c>
      <c r="C240" s="205" t="s">
        <v>1475</v>
      </c>
      <c r="D240" s="95">
        <v>999.0</v>
      </c>
      <c r="E240" s="207" t="s">
        <v>1477</v>
      </c>
      <c r="F240" s="208"/>
      <c r="G240" s="208"/>
      <c r="H240" s="208"/>
      <c r="I240" s="208"/>
      <c r="J240" s="208"/>
      <c r="K240" s="209"/>
      <c r="L240" s="210"/>
    </row>
    <row r="241" ht="12.75" customHeight="1">
      <c r="A241">
        <f>sum(A2:A239)</f>
        <v>38</v>
      </c>
      <c r="B241" s="211" t="s">
        <v>1480</v>
      </c>
      <c r="C241" s="212"/>
      <c r="E241" s="212"/>
      <c r="F241" s="212"/>
      <c r="G241" s="212"/>
      <c r="H241" s="212"/>
      <c r="K241" s="212"/>
      <c r="L241" s="212"/>
    </row>
    <row r="242" ht="12.75" customHeight="1">
      <c r="B242" s="212"/>
      <c r="C242" s="212"/>
      <c r="E242" s="212"/>
      <c r="F242" s="212"/>
      <c r="G242" s="212"/>
      <c r="H242" s="212"/>
      <c r="K242" s="212"/>
      <c r="L242" s="212"/>
    </row>
    <row r="243" ht="12.75" customHeight="1">
      <c r="B243" s="212"/>
      <c r="C243" s="212"/>
      <c r="E243" s="212"/>
      <c r="F243" s="212"/>
      <c r="G243" s="212"/>
      <c r="H243" s="212"/>
      <c r="L243" s="212"/>
    </row>
    <row r="244" ht="12.75" customHeight="1"/>
  </sheetData>
  <autoFilter ref="$A$1:$L$239">
    <sortState ref="A1:L239">
      <sortCondition ref="A1:A239"/>
      <sortCondition ref="D1:D239"/>
    </sortState>
  </autoFilter>
  <customSheetViews>
    <customSheetView guid="{6727913F-ABEB-430D-BC37-8F7C01EEFA82}" filter="1" showAutoFilter="1">
      <autoFilter ref="$A$1:$L$239">
        <sortState ref="A1:L239">
          <sortCondition ref="A1:A239"/>
          <sortCondition ref="D1:D239"/>
        </sortState>
      </autoFilter>
    </customSheetView>
  </customSheetViews>
  <mergeCells count="1">
    <mergeCell ref="E240:K24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5.13" defaultRowHeight="15.0"/>
  <cols>
    <col customWidth="1" min="1" max="1" width="6.75"/>
    <col customWidth="1" min="2" max="2" width="7.25"/>
    <col customWidth="1" min="3" max="3" width="30.0"/>
    <col customWidth="1" min="4" max="4" width="12.0"/>
    <col customWidth="1" min="5" max="5" width="5.63"/>
    <col customWidth="1" min="6" max="6" width="5.88"/>
    <col customWidth="1" min="7" max="7" width="1.38"/>
    <col customWidth="1" min="8" max="8" width="6.25"/>
    <col customWidth="1" min="9" max="9" width="6.13"/>
    <col customWidth="1" min="10" max="10" width="9.13"/>
    <col customWidth="1" min="11" max="11" width="5.88"/>
    <col customWidth="1" min="12" max="14" width="5.75"/>
    <col customWidth="1" min="15" max="15" width="6.5"/>
    <col customWidth="1" min="16" max="16" width="8.13"/>
    <col customWidth="1" min="17" max="17" width="180.63"/>
    <col customWidth="1" min="18" max="18" width="3.5"/>
  </cols>
  <sheetData>
    <row r="1" ht="12.75" customHeight="1">
      <c r="A1" s="6"/>
      <c r="B1" s="8"/>
      <c r="C1" s="6" t="s">
        <v>13</v>
      </c>
      <c r="D1" s="11"/>
      <c r="E1" s="13" t="s">
        <v>17</v>
      </c>
      <c r="F1" s="11"/>
      <c r="G1" s="11"/>
      <c r="H1" s="16" t="s">
        <v>21</v>
      </c>
      <c r="I1" s="11"/>
      <c r="J1" s="6" t="s">
        <v>26</v>
      </c>
      <c r="K1" s="8" t="s">
        <v>27</v>
      </c>
      <c r="L1" s="8" t="s">
        <v>27</v>
      </c>
      <c r="M1" s="8" t="s">
        <v>27</v>
      </c>
      <c r="N1" s="8" t="s">
        <v>27</v>
      </c>
      <c r="O1" s="8"/>
      <c r="P1" s="8" t="s">
        <v>31</v>
      </c>
      <c r="Q1" s="6" t="s">
        <v>10</v>
      </c>
      <c r="R1" s="19"/>
    </row>
    <row r="2" ht="12.75" customHeight="1">
      <c r="A2" s="21" t="s">
        <v>35</v>
      </c>
      <c r="B2" s="22" t="s">
        <v>40</v>
      </c>
      <c r="C2" s="24" t="s">
        <v>44</v>
      </c>
      <c r="D2" s="26" t="s">
        <v>54</v>
      </c>
      <c r="E2" s="27" t="s">
        <v>58</v>
      </c>
      <c r="F2" s="27" t="s">
        <v>65</v>
      </c>
      <c r="G2" s="28"/>
      <c r="H2" s="30" t="s">
        <v>69</v>
      </c>
      <c r="I2" s="30" t="s">
        <v>79</v>
      </c>
      <c r="J2" s="32" t="s">
        <v>80</v>
      </c>
      <c r="K2" s="33" t="s">
        <v>83</v>
      </c>
      <c r="L2" s="33" t="s">
        <v>62</v>
      </c>
      <c r="M2" s="33" t="s">
        <v>88</v>
      </c>
      <c r="N2" s="33" t="s">
        <v>89</v>
      </c>
      <c r="O2" s="33" t="s">
        <v>64</v>
      </c>
      <c r="P2" s="33" t="s">
        <v>90</v>
      </c>
      <c r="Q2" s="34"/>
      <c r="R2" s="35"/>
    </row>
    <row r="3" ht="12.75" customHeight="1">
      <c r="A3" s="36"/>
      <c r="B3" s="39"/>
      <c r="C3" s="36" t="s">
        <v>103</v>
      </c>
      <c r="D3" s="42"/>
      <c r="E3" s="42"/>
      <c r="F3" s="42"/>
      <c r="G3" s="42"/>
      <c r="H3" s="45">
        <f t="shared" ref="H3:H100" si="1">1024+E3</f>
        <v>1024</v>
      </c>
      <c r="I3" s="45">
        <f t="shared" ref="I3:I100" si="2">1024-F3</f>
        <v>1024</v>
      </c>
      <c r="J3" s="46"/>
      <c r="K3" s="42"/>
      <c r="L3" s="42"/>
      <c r="M3" s="42"/>
      <c r="N3" s="42"/>
      <c r="O3" s="42"/>
      <c r="P3" s="42"/>
      <c r="Q3" s="46"/>
      <c r="R3" s="47"/>
    </row>
    <row r="4" ht="12.75" customHeight="1">
      <c r="A4" s="48">
        <v>1.0</v>
      </c>
      <c r="B4" s="49">
        <v>1030.0</v>
      </c>
      <c r="C4" s="50" t="s">
        <v>172</v>
      </c>
      <c r="D4" s="49" t="s">
        <v>176</v>
      </c>
      <c r="E4" s="51">
        <v>-55.0</v>
      </c>
      <c r="F4" s="51">
        <v>89.0</v>
      </c>
      <c r="G4" s="52"/>
      <c r="H4" s="54">
        <f t="shared" si="1"/>
        <v>969</v>
      </c>
      <c r="I4" s="54">
        <f t="shared" si="2"/>
        <v>935</v>
      </c>
      <c r="J4" s="55"/>
      <c r="K4" s="56" t="s">
        <v>115</v>
      </c>
      <c r="L4" s="56"/>
      <c r="M4" s="56"/>
      <c r="N4" s="56"/>
      <c r="O4" s="56" t="s">
        <v>186</v>
      </c>
      <c r="P4" s="56" t="s">
        <v>115</v>
      </c>
      <c r="Q4" s="50" t="s">
        <v>199</v>
      </c>
      <c r="R4" s="57"/>
    </row>
    <row r="5" ht="12.75" customHeight="1">
      <c r="A5" s="48">
        <v>1.0</v>
      </c>
      <c r="B5" s="49">
        <v>1440.0</v>
      </c>
      <c r="C5" s="50" t="s">
        <v>205</v>
      </c>
      <c r="D5" s="49" t="s">
        <v>207</v>
      </c>
      <c r="E5" s="51">
        <v>-40.0</v>
      </c>
      <c r="F5" s="51">
        <v>82.0</v>
      </c>
      <c r="G5" s="58"/>
      <c r="H5" s="54">
        <f t="shared" si="1"/>
        <v>984</v>
      </c>
      <c r="I5" s="54">
        <f t="shared" si="2"/>
        <v>942</v>
      </c>
      <c r="J5" s="55"/>
      <c r="K5" s="56" t="s">
        <v>115</v>
      </c>
      <c r="L5" s="56" t="s">
        <v>115</v>
      </c>
      <c r="M5" s="56" t="s">
        <v>115</v>
      </c>
      <c r="N5" s="56" t="s">
        <v>217</v>
      </c>
      <c r="O5" s="56"/>
      <c r="P5" s="56" t="s">
        <v>115</v>
      </c>
      <c r="Q5" s="50" t="s">
        <v>222</v>
      </c>
      <c r="R5" s="57"/>
    </row>
    <row r="6" ht="12.75" customHeight="1">
      <c r="A6" s="48">
        <v>1.0</v>
      </c>
      <c r="B6" s="49">
        <v>59.0</v>
      </c>
      <c r="C6" s="50" t="s">
        <v>224</v>
      </c>
      <c r="D6" s="61" t="s">
        <v>227</v>
      </c>
      <c r="E6" s="51">
        <v>-20.0</v>
      </c>
      <c r="F6" s="51">
        <v>99.0</v>
      </c>
      <c r="G6" s="52"/>
      <c r="H6" s="54">
        <f t="shared" si="1"/>
        <v>1004</v>
      </c>
      <c r="I6" s="54">
        <f t="shared" si="2"/>
        <v>925</v>
      </c>
      <c r="J6" s="55"/>
      <c r="K6" s="56" t="s">
        <v>115</v>
      </c>
      <c r="L6" s="56" t="s">
        <v>115</v>
      </c>
      <c r="M6" s="56"/>
      <c r="N6" s="56"/>
      <c r="O6" s="56" t="s">
        <v>186</v>
      </c>
      <c r="P6" s="56" t="s">
        <v>115</v>
      </c>
      <c r="Q6" s="62" t="s">
        <v>241</v>
      </c>
      <c r="R6" s="63"/>
    </row>
    <row r="7" ht="12.75" customHeight="1">
      <c r="A7" s="48">
        <v>1.0</v>
      </c>
      <c r="B7" s="49">
        <v>1155.0</v>
      </c>
      <c r="C7" s="50" t="s">
        <v>249</v>
      </c>
      <c r="D7" s="61" t="s">
        <v>251</v>
      </c>
      <c r="E7" s="66">
        <v>-54.0</v>
      </c>
      <c r="F7" s="66">
        <v>78.0</v>
      </c>
      <c r="G7" s="52"/>
      <c r="H7" s="54">
        <f t="shared" si="1"/>
        <v>970</v>
      </c>
      <c r="I7" s="54">
        <f t="shared" si="2"/>
        <v>946</v>
      </c>
      <c r="J7" s="55"/>
      <c r="K7" s="56" t="s">
        <v>115</v>
      </c>
      <c r="L7" s="56" t="s">
        <v>115</v>
      </c>
      <c r="M7" s="56"/>
      <c r="N7" s="56"/>
      <c r="O7" s="56"/>
      <c r="P7" s="56" t="s">
        <v>115</v>
      </c>
      <c r="Q7" s="62" t="s">
        <v>263</v>
      </c>
      <c r="R7" s="63"/>
    </row>
    <row r="8" ht="12.75" customHeight="1">
      <c r="A8" s="48">
        <v>1.0</v>
      </c>
      <c r="B8" s="49">
        <v>69.0</v>
      </c>
      <c r="C8" s="50" t="s">
        <v>267</v>
      </c>
      <c r="D8" s="61" t="s">
        <v>269</v>
      </c>
      <c r="E8" s="66">
        <v>-717.0</v>
      </c>
      <c r="F8" s="66">
        <v>-51.0</v>
      </c>
      <c r="G8" s="70"/>
      <c r="H8" s="54">
        <f t="shared" si="1"/>
        <v>307</v>
      </c>
      <c r="I8" s="54">
        <f t="shared" si="2"/>
        <v>1075</v>
      </c>
      <c r="J8" s="74"/>
      <c r="K8" s="56" t="s">
        <v>115</v>
      </c>
      <c r="L8" s="56"/>
      <c r="M8" s="56"/>
      <c r="N8" s="56"/>
      <c r="O8" s="56"/>
      <c r="P8" s="56" t="s">
        <v>115</v>
      </c>
      <c r="Q8" s="62" t="s">
        <v>292</v>
      </c>
      <c r="R8" s="63"/>
    </row>
    <row r="9" ht="12.75" customHeight="1">
      <c r="A9" s="48">
        <v>1.0</v>
      </c>
      <c r="B9" s="49">
        <v>19.0</v>
      </c>
      <c r="C9" s="50" t="s">
        <v>294</v>
      </c>
      <c r="D9" s="49" t="s">
        <v>295</v>
      </c>
      <c r="E9" s="51">
        <v>-44.0</v>
      </c>
      <c r="F9" s="51">
        <v>128.0</v>
      </c>
      <c r="G9" s="77"/>
      <c r="H9" s="54">
        <f t="shared" si="1"/>
        <v>980</v>
      </c>
      <c r="I9" s="54">
        <f t="shared" si="2"/>
        <v>896</v>
      </c>
      <c r="J9" s="74"/>
      <c r="K9" s="49" t="s">
        <v>115</v>
      </c>
      <c r="L9" s="49"/>
      <c r="M9" s="49"/>
      <c r="N9" s="49"/>
      <c r="O9" s="49"/>
      <c r="P9" s="49" t="s">
        <v>115</v>
      </c>
      <c r="Q9" s="48" t="s">
        <v>298</v>
      </c>
      <c r="R9" s="81"/>
    </row>
    <row r="10" ht="12.75" customHeight="1">
      <c r="A10" s="48">
        <v>1.0</v>
      </c>
      <c r="B10" s="49">
        <v>27.0</v>
      </c>
      <c r="C10" s="50" t="s">
        <v>299</v>
      </c>
      <c r="D10" s="49" t="s">
        <v>301</v>
      </c>
      <c r="E10" s="51">
        <v>80.0</v>
      </c>
      <c r="F10" s="51">
        <v>115.0</v>
      </c>
      <c r="G10" s="52"/>
      <c r="H10" s="54">
        <f t="shared" si="1"/>
        <v>1104</v>
      </c>
      <c r="I10" s="54">
        <f t="shared" si="2"/>
        <v>909</v>
      </c>
      <c r="J10" s="55"/>
      <c r="K10" s="56" t="s">
        <v>115</v>
      </c>
      <c r="L10" s="56"/>
      <c r="M10" s="56"/>
      <c r="N10" s="56"/>
      <c r="O10" s="56"/>
      <c r="P10" s="56" t="s">
        <v>115</v>
      </c>
      <c r="Q10" s="48" t="s">
        <v>298</v>
      </c>
      <c r="R10" s="81"/>
    </row>
    <row r="11" ht="12.75" customHeight="1">
      <c r="A11" s="48">
        <v>1.0</v>
      </c>
      <c r="B11" s="49">
        <v>132.0</v>
      </c>
      <c r="C11" s="48" t="s">
        <v>305</v>
      </c>
      <c r="D11" s="61" t="s">
        <v>306</v>
      </c>
      <c r="E11" s="51">
        <v>-58.0</v>
      </c>
      <c r="F11" s="51">
        <v>192.0</v>
      </c>
      <c r="G11" s="52"/>
      <c r="H11" s="54">
        <f t="shared" si="1"/>
        <v>966</v>
      </c>
      <c r="I11" s="54">
        <f t="shared" si="2"/>
        <v>832</v>
      </c>
      <c r="J11" s="55"/>
      <c r="K11" s="56" t="s">
        <v>115</v>
      </c>
      <c r="L11" s="56" t="s">
        <v>115</v>
      </c>
      <c r="M11" s="56"/>
      <c r="N11" s="56"/>
      <c r="O11" s="56"/>
      <c r="P11" s="56" t="s">
        <v>115</v>
      </c>
      <c r="Q11" s="62" t="s">
        <v>311</v>
      </c>
      <c r="R11" s="63"/>
    </row>
    <row r="12" ht="12.75" customHeight="1">
      <c r="A12" s="48">
        <v>1.0</v>
      </c>
      <c r="B12" s="49">
        <v>1232.0</v>
      </c>
      <c r="C12" s="48" t="s">
        <v>313</v>
      </c>
      <c r="D12" s="61" t="s">
        <v>315</v>
      </c>
      <c r="E12" s="51">
        <v>60.0</v>
      </c>
      <c r="F12" s="51">
        <v>54.0</v>
      </c>
      <c r="G12" s="52"/>
      <c r="H12" s="54">
        <f t="shared" si="1"/>
        <v>1084</v>
      </c>
      <c r="I12" s="54">
        <f t="shared" si="2"/>
        <v>970</v>
      </c>
      <c r="J12" s="55"/>
      <c r="K12" s="56" t="s">
        <v>115</v>
      </c>
      <c r="L12" s="56" t="s">
        <v>115</v>
      </c>
      <c r="M12" s="56"/>
      <c r="N12" s="56"/>
      <c r="O12" s="56"/>
      <c r="P12" s="56" t="s">
        <v>115</v>
      </c>
      <c r="Q12" s="62" t="s">
        <v>321</v>
      </c>
      <c r="R12" s="63"/>
    </row>
    <row r="13" ht="12.75" customHeight="1">
      <c r="A13" s="48">
        <v>1.0</v>
      </c>
      <c r="B13" s="49">
        <v>1267.0</v>
      </c>
      <c r="C13" s="50" t="s">
        <v>323</v>
      </c>
      <c r="D13" s="61" t="s">
        <v>325</v>
      </c>
      <c r="E13" s="51">
        <v>305.0</v>
      </c>
      <c r="F13" s="51">
        <v>313.0</v>
      </c>
      <c r="G13" s="52"/>
      <c r="H13" s="54">
        <f t="shared" si="1"/>
        <v>1329</v>
      </c>
      <c r="I13" s="54">
        <f t="shared" si="2"/>
        <v>711</v>
      </c>
      <c r="J13" s="55"/>
      <c r="K13" s="56" t="s">
        <v>115</v>
      </c>
      <c r="L13" s="56" t="s">
        <v>115</v>
      </c>
      <c r="M13" s="56"/>
      <c r="N13" s="56"/>
      <c r="O13" s="56"/>
      <c r="P13" s="56" t="s">
        <v>115</v>
      </c>
      <c r="Q13" s="62" t="s">
        <v>321</v>
      </c>
      <c r="R13" s="63"/>
    </row>
    <row r="14" ht="12.75" customHeight="1">
      <c r="A14" s="48">
        <v>1.0</v>
      </c>
      <c r="B14" s="49">
        <v>1050.0</v>
      </c>
      <c r="C14" s="50" t="s">
        <v>332</v>
      </c>
      <c r="D14" s="49" t="s">
        <v>176</v>
      </c>
      <c r="E14" s="51">
        <v>167.0</v>
      </c>
      <c r="F14" s="51">
        <v>-85.0</v>
      </c>
      <c r="G14" s="52"/>
      <c r="H14" s="54">
        <f t="shared" si="1"/>
        <v>1191</v>
      </c>
      <c r="I14" s="54">
        <f t="shared" si="2"/>
        <v>1109</v>
      </c>
      <c r="J14" s="55"/>
      <c r="K14" s="56" t="s">
        <v>115</v>
      </c>
      <c r="L14" s="56"/>
      <c r="M14" s="56"/>
      <c r="N14" s="56"/>
      <c r="O14" s="56"/>
      <c r="P14" s="56" t="s">
        <v>115</v>
      </c>
      <c r="Q14" s="62" t="s">
        <v>337</v>
      </c>
      <c r="R14" s="63"/>
    </row>
    <row r="15" ht="12.75" customHeight="1">
      <c r="A15" s="48">
        <v>1.0</v>
      </c>
      <c r="B15" s="49">
        <v>67.0</v>
      </c>
      <c r="C15" s="50" t="s">
        <v>340</v>
      </c>
      <c r="D15" s="61" t="s">
        <v>341</v>
      </c>
      <c r="E15" s="51">
        <v>6.0</v>
      </c>
      <c r="F15" s="51">
        <v>67.0</v>
      </c>
      <c r="G15" s="52"/>
      <c r="H15" s="54">
        <f t="shared" si="1"/>
        <v>1030</v>
      </c>
      <c r="I15" s="54">
        <f t="shared" si="2"/>
        <v>957</v>
      </c>
      <c r="J15" s="55"/>
      <c r="K15" s="56" t="s">
        <v>115</v>
      </c>
      <c r="L15" s="56" t="s">
        <v>115</v>
      </c>
      <c r="M15" s="56"/>
      <c r="N15" s="56"/>
      <c r="O15" s="56" t="s">
        <v>186</v>
      </c>
      <c r="P15" s="56" t="s">
        <v>115</v>
      </c>
      <c r="Q15" s="62" t="s">
        <v>241</v>
      </c>
      <c r="R15" s="63"/>
    </row>
    <row r="16" ht="12.75" customHeight="1">
      <c r="A16" s="48">
        <v>1.0</v>
      </c>
      <c r="B16" s="49">
        <v>1185.0</v>
      </c>
      <c r="C16" s="50" t="s">
        <v>345</v>
      </c>
      <c r="D16" s="49" t="s">
        <v>176</v>
      </c>
      <c r="E16" s="51">
        <v>623.0</v>
      </c>
      <c r="F16" s="51">
        <v>114.0</v>
      </c>
      <c r="G16" s="52"/>
      <c r="H16" s="54">
        <f t="shared" si="1"/>
        <v>1647</v>
      </c>
      <c r="I16" s="54">
        <f t="shared" si="2"/>
        <v>910</v>
      </c>
      <c r="J16" s="55"/>
      <c r="K16" s="56" t="s">
        <v>115</v>
      </c>
      <c r="L16" s="56"/>
      <c r="M16" s="56"/>
      <c r="N16" s="56"/>
      <c r="O16" s="56"/>
      <c r="P16" s="56" t="s">
        <v>115</v>
      </c>
      <c r="Q16" s="62" t="s">
        <v>351</v>
      </c>
      <c r="R16" s="63"/>
    </row>
    <row r="17" ht="12.75" customHeight="1">
      <c r="A17" s="48">
        <v>1.0</v>
      </c>
      <c r="B17" s="49">
        <v>1259.0</v>
      </c>
      <c r="C17" s="50" t="s">
        <v>354</v>
      </c>
      <c r="D17" s="49" t="s">
        <v>176</v>
      </c>
      <c r="E17" s="51">
        <v>-150.0</v>
      </c>
      <c r="F17" s="51">
        <v>-180.0</v>
      </c>
      <c r="G17" s="52"/>
      <c r="H17" s="54">
        <f t="shared" si="1"/>
        <v>874</v>
      </c>
      <c r="I17" s="54">
        <f t="shared" si="2"/>
        <v>1204</v>
      </c>
      <c r="J17" s="55"/>
      <c r="K17" s="56" t="s">
        <v>115</v>
      </c>
      <c r="L17" s="56"/>
      <c r="M17" s="56"/>
      <c r="N17" s="56"/>
      <c r="O17" s="56"/>
      <c r="P17" s="56" t="s">
        <v>115</v>
      </c>
      <c r="Q17" s="62" t="s">
        <v>362</v>
      </c>
      <c r="R17" s="63"/>
    </row>
    <row r="18" ht="12.75" customHeight="1">
      <c r="A18" s="48">
        <v>1.0</v>
      </c>
      <c r="B18" s="49">
        <v>1104.0</v>
      </c>
      <c r="C18" s="50" t="s">
        <v>365</v>
      </c>
      <c r="D18" s="49" t="s">
        <v>176</v>
      </c>
      <c r="E18" s="51">
        <v>-54.0</v>
      </c>
      <c r="F18" s="51">
        <v>-320.0</v>
      </c>
      <c r="G18" s="52"/>
      <c r="H18" s="54">
        <f t="shared" si="1"/>
        <v>970</v>
      </c>
      <c r="I18" s="54">
        <f t="shared" si="2"/>
        <v>1344</v>
      </c>
      <c r="J18" s="55"/>
      <c r="K18" s="56" t="s">
        <v>115</v>
      </c>
      <c r="L18" s="56"/>
      <c r="M18" s="56"/>
      <c r="N18" s="56"/>
      <c r="O18" s="56"/>
      <c r="P18" s="56" t="s">
        <v>115</v>
      </c>
      <c r="Q18" s="62" t="s">
        <v>380</v>
      </c>
      <c r="R18" s="63"/>
    </row>
    <row r="19" ht="12.75" customHeight="1">
      <c r="A19" s="48">
        <v>1.0</v>
      </c>
      <c r="B19" s="49">
        <v>1208.0</v>
      </c>
      <c r="C19" s="48" t="s">
        <v>382</v>
      </c>
      <c r="D19" s="49" t="s">
        <v>176</v>
      </c>
      <c r="E19" s="51">
        <v>-767.0</v>
      </c>
      <c r="F19" s="51">
        <v>157.0</v>
      </c>
      <c r="G19" s="52"/>
      <c r="H19" s="54">
        <f t="shared" si="1"/>
        <v>257</v>
      </c>
      <c r="I19" s="54">
        <f t="shared" si="2"/>
        <v>867</v>
      </c>
      <c r="J19" s="55"/>
      <c r="K19" s="56" t="s">
        <v>115</v>
      </c>
      <c r="L19" s="56" t="s">
        <v>115</v>
      </c>
      <c r="M19" s="56"/>
      <c r="N19" s="56"/>
      <c r="O19" s="56"/>
      <c r="P19" s="56" t="s">
        <v>115</v>
      </c>
      <c r="Q19" s="62" t="s">
        <v>385</v>
      </c>
      <c r="R19" s="63"/>
    </row>
    <row r="20" ht="12.75" customHeight="1">
      <c r="A20" s="48">
        <v>1.0</v>
      </c>
      <c r="B20" s="49">
        <v>1062.0</v>
      </c>
      <c r="C20" s="50" t="s">
        <v>386</v>
      </c>
      <c r="D20" s="49" t="s">
        <v>218</v>
      </c>
      <c r="E20" s="51">
        <v>210.0</v>
      </c>
      <c r="F20" s="51">
        <v>233.0</v>
      </c>
      <c r="G20" s="52"/>
      <c r="H20" s="54">
        <f t="shared" si="1"/>
        <v>1234</v>
      </c>
      <c r="I20" s="54">
        <f t="shared" si="2"/>
        <v>791</v>
      </c>
      <c r="J20" s="55"/>
      <c r="K20" s="56" t="s">
        <v>115</v>
      </c>
      <c r="L20" s="56"/>
      <c r="M20" s="56"/>
      <c r="N20" s="56"/>
      <c r="O20" s="56"/>
      <c r="P20" s="56" t="s">
        <v>115</v>
      </c>
      <c r="Q20" s="62" t="s">
        <v>321</v>
      </c>
      <c r="R20" s="63"/>
    </row>
    <row r="21" ht="12.75" customHeight="1">
      <c r="A21" s="48">
        <v>1.0</v>
      </c>
      <c r="B21" s="49">
        <v>404.0</v>
      </c>
      <c r="C21" s="50" t="s">
        <v>394</v>
      </c>
      <c r="D21" s="61" t="s">
        <v>396</v>
      </c>
      <c r="E21" s="51">
        <v>-53.0</v>
      </c>
      <c r="F21" s="66">
        <v>63.0</v>
      </c>
      <c r="G21" s="52"/>
      <c r="H21" s="54">
        <f t="shared" si="1"/>
        <v>971</v>
      </c>
      <c r="I21" s="54">
        <f t="shared" si="2"/>
        <v>961</v>
      </c>
      <c r="J21" s="55"/>
      <c r="K21" s="56" t="s">
        <v>115</v>
      </c>
      <c r="L21" s="56" t="s">
        <v>115</v>
      </c>
      <c r="M21" s="56"/>
      <c r="N21" s="56"/>
      <c r="O21" s="56" t="s">
        <v>186</v>
      </c>
      <c r="P21" s="56" t="s">
        <v>115</v>
      </c>
      <c r="Q21" s="62" t="s">
        <v>413</v>
      </c>
      <c r="R21" s="63"/>
    </row>
    <row r="22" ht="12.75" customHeight="1">
      <c r="A22" s="48">
        <v>1.0</v>
      </c>
      <c r="B22" s="49">
        <v>1081.0</v>
      </c>
      <c r="C22" s="50" t="s">
        <v>415</v>
      </c>
      <c r="D22" s="49" t="s">
        <v>176</v>
      </c>
      <c r="E22" s="51">
        <v>349.0</v>
      </c>
      <c r="F22" s="51">
        <v>769.0</v>
      </c>
      <c r="G22" s="52"/>
      <c r="H22" s="54">
        <f t="shared" si="1"/>
        <v>1373</v>
      </c>
      <c r="I22" s="54">
        <f t="shared" si="2"/>
        <v>255</v>
      </c>
      <c r="J22" s="55"/>
      <c r="K22" s="56" t="s">
        <v>115</v>
      </c>
      <c r="L22" s="56"/>
      <c r="M22" s="56"/>
      <c r="N22" s="56"/>
      <c r="O22" s="56"/>
      <c r="P22" s="56" t="s">
        <v>115</v>
      </c>
      <c r="Q22" s="62" t="s">
        <v>426</v>
      </c>
      <c r="R22" s="63"/>
    </row>
    <row r="23" ht="12.75" customHeight="1">
      <c r="A23" s="48">
        <v>1.0</v>
      </c>
      <c r="B23" s="56">
        <v>118.0</v>
      </c>
      <c r="C23" s="62" t="s">
        <v>427</v>
      </c>
      <c r="D23" s="49" t="s">
        <v>428</v>
      </c>
      <c r="E23" s="56">
        <v>169.0</v>
      </c>
      <c r="F23" s="56">
        <v>171.0</v>
      </c>
      <c r="G23" s="52"/>
      <c r="H23" s="54">
        <f t="shared" si="1"/>
        <v>1193</v>
      </c>
      <c r="I23" s="54">
        <f t="shared" si="2"/>
        <v>853</v>
      </c>
      <c r="J23" s="55"/>
      <c r="K23" s="56" t="s">
        <v>115</v>
      </c>
      <c r="L23" s="56" t="s">
        <v>115</v>
      </c>
      <c r="M23" s="56"/>
      <c r="N23" s="56"/>
      <c r="O23" s="56" t="s">
        <v>186</v>
      </c>
      <c r="P23" s="56" t="s">
        <v>115</v>
      </c>
      <c r="Q23" s="62" t="s">
        <v>298</v>
      </c>
      <c r="R23" s="63"/>
    </row>
    <row r="24" ht="12.75" customHeight="1">
      <c r="A24" s="48">
        <v>1.0</v>
      </c>
      <c r="B24" s="56">
        <v>406.0</v>
      </c>
      <c r="C24" s="62" t="s">
        <v>441</v>
      </c>
      <c r="D24" s="49" t="s">
        <v>442</v>
      </c>
      <c r="E24" s="56">
        <v>3.0</v>
      </c>
      <c r="F24" s="56">
        <v>4.0</v>
      </c>
      <c r="G24" s="52"/>
      <c r="H24" s="54">
        <f t="shared" si="1"/>
        <v>1027</v>
      </c>
      <c r="I24" s="54">
        <f t="shared" si="2"/>
        <v>1020</v>
      </c>
      <c r="J24" s="55"/>
      <c r="K24" s="56" t="s">
        <v>115</v>
      </c>
      <c r="L24" s="56" t="s">
        <v>115</v>
      </c>
      <c r="M24" s="56"/>
      <c r="N24" s="56"/>
      <c r="O24" s="56" t="s">
        <v>186</v>
      </c>
      <c r="P24" s="56" t="s">
        <v>115</v>
      </c>
      <c r="Q24" s="62" t="s">
        <v>451</v>
      </c>
      <c r="R24" s="63"/>
    </row>
    <row r="25" ht="12.75" customHeight="1">
      <c r="A25" s="48">
        <v>1.0</v>
      </c>
      <c r="B25" s="56">
        <v>1017.0</v>
      </c>
      <c r="C25" s="62" t="s">
        <v>453</v>
      </c>
      <c r="D25" s="49" t="s">
        <v>456</v>
      </c>
      <c r="E25" s="56">
        <v>-121.0</v>
      </c>
      <c r="F25" s="56">
        <v>-99.0</v>
      </c>
      <c r="G25" s="52"/>
      <c r="H25" s="54">
        <f t="shared" si="1"/>
        <v>903</v>
      </c>
      <c r="I25" s="54">
        <f t="shared" si="2"/>
        <v>1123</v>
      </c>
      <c r="J25" s="55"/>
      <c r="K25" s="56" t="s">
        <v>115</v>
      </c>
      <c r="L25" s="56" t="s">
        <v>115</v>
      </c>
      <c r="M25" s="56"/>
      <c r="N25" s="56"/>
      <c r="O25" s="56" t="s">
        <v>186</v>
      </c>
      <c r="P25" s="56" t="s">
        <v>115</v>
      </c>
      <c r="Q25" s="62" t="s">
        <v>465</v>
      </c>
      <c r="R25" s="63"/>
    </row>
    <row r="26" ht="12.75" customHeight="1">
      <c r="A26" s="48">
        <v>1.0</v>
      </c>
      <c r="B26" s="56">
        <v>1452.0</v>
      </c>
      <c r="C26" s="62" t="s">
        <v>468</v>
      </c>
      <c r="D26" s="49" t="s">
        <v>176</v>
      </c>
      <c r="E26" s="56">
        <v>-51.0</v>
      </c>
      <c r="F26" s="92">
        <v>99.0</v>
      </c>
      <c r="G26" s="52"/>
      <c r="H26" s="54">
        <f t="shared" si="1"/>
        <v>973</v>
      </c>
      <c r="I26" s="54">
        <f t="shared" si="2"/>
        <v>925</v>
      </c>
      <c r="J26" s="55"/>
      <c r="K26" s="56" t="s">
        <v>115</v>
      </c>
      <c r="L26" s="56" t="s">
        <v>115</v>
      </c>
      <c r="M26" s="56"/>
      <c r="N26" s="56"/>
      <c r="O26" s="56" t="s">
        <v>186</v>
      </c>
      <c r="P26" s="56" t="s">
        <v>115</v>
      </c>
      <c r="Q26" s="62" t="s">
        <v>480</v>
      </c>
      <c r="R26" s="63"/>
    </row>
    <row r="27" ht="12.75" customHeight="1">
      <c r="A27" s="48">
        <v>1.0</v>
      </c>
      <c r="B27" s="56">
        <v>92.0</v>
      </c>
      <c r="C27" s="62" t="s">
        <v>483</v>
      </c>
      <c r="D27" s="49" t="s">
        <v>484</v>
      </c>
      <c r="E27" s="56">
        <v>643.0</v>
      </c>
      <c r="F27" s="92">
        <v>-10.0</v>
      </c>
      <c r="G27" s="52"/>
      <c r="H27" s="54">
        <f t="shared" si="1"/>
        <v>1667</v>
      </c>
      <c r="I27" s="54">
        <f t="shared" si="2"/>
        <v>1034</v>
      </c>
      <c r="J27" s="55"/>
      <c r="K27" s="56" t="s">
        <v>115</v>
      </c>
      <c r="L27" s="56" t="s">
        <v>115</v>
      </c>
      <c r="M27" s="56"/>
      <c r="N27" s="56"/>
      <c r="O27" s="56"/>
      <c r="P27" s="56" t="s">
        <v>115</v>
      </c>
      <c r="Q27" s="62" t="s">
        <v>488</v>
      </c>
      <c r="R27" s="63"/>
    </row>
    <row r="28" ht="12.75" customHeight="1">
      <c r="A28" s="48">
        <v>1.0</v>
      </c>
      <c r="B28" s="56">
        <v>1272.0</v>
      </c>
      <c r="C28" s="62" t="s">
        <v>489</v>
      </c>
      <c r="D28" s="61" t="s">
        <v>490</v>
      </c>
      <c r="E28" s="56">
        <v>-764.0</v>
      </c>
      <c r="F28" s="92">
        <v>138.0</v>
      </c>
      <c r="G28" s="52"/>
      <c r="H28" s="54">
        <f t="shared" si="1"/>
        <v>260</v>
      </c>
      <c r="I28" s="54">
        <f t="shared" si="2"/>
        <v>886</v>
      </c>
      <c r="J28" s="55"/>
      <c r="K28" s="56" t="s">
        <v>115</v>
      </c>
      <c r="L28" s="56"/>
      <c r="M28" s="56"/>
      <c r="N28" s="56"/>
      <c r="O28" s="56"/>
      <c r="P28" s="56" t="s">
        <v>115</v>
      </c>
      <c r="Q28" s="62" t="s">
        <v>495</v>
      </c>
      <c r="R28" s="63"/>
    </row>
    <row r="29" ht="12.75" customHeight="1">
      <c r="A29" s="48">
        <v>1.0</v>
      </c>
      <c r="B29" s="56">
        <v>114.0</v>
      </c>
      <c r="C29" s="62" t="s">
        <v>498</v>
      </c>
      <c r="D29" s="61" t="s">
        <v>490</v>
      </c>
      <c r="E29" s="56">
        <v>641.0</v>
      </c>
      <c r="F29" s="92">
        <v>87.0</v>
      </c>
      <c r="G29" s="52"/>
      <c r="H29" s="54">
        <f t="shared" si="1"/>
        <v>1665</v>
      </c>
      <c r="I29" s="54">
        <f t="shared" si="2"/>
        <v>937</v>
      </c>
      <c r="J29" s="55"/>
      <c r="K29" s="56" t="s">
        <v>115</v>
      </c>
      <c r="L29" s="56" t="s">
        <v>115</v>
      </c>
      <c r="M29" s="56"/>
      <c r="N29" s="56"/>
      <c r="O29" s="56" t="s">
        <v>504</v>
      </c>
      <c r="P29" s="56" t="s">
        <v>115</v>
      </c>
      <c r="Q29" s="62" t="s">
        <v>507</v>
      </c>
      <c r="R29" s="63"/>
    </row>
    <row r="30" ht="12.75" customHeight="1">
      <c r="A30" s="48">
        <v>1.0</v>
      </c>
      <c r="B30" s="56">
        <v>1481.0</v>
      </c>
      <c r="C30" s="62" t="s">
        <v>510</v>
      </c>
      <c r="D30" s="49" t="s">
        <v>512</v>
      </c>
      <c r="E30" s="56">
        <v>-54.0</v>
      </c>
      <c r="F30" s="92">
        <v>118.0</v>
      </c>
      <c r="G30" s="52"/>
      <c r="H30" s="54">
        <f t="shared" si="1"/>
        <v>970</v>
      </c>
      <c r="I30" s="54">
        <f t="shared" si="2"/>
        <v>906</v>
      </c>
      <c r="J30" s="55"/>
      <c r="K30" s="56" t="s">
        <v>115</v>
      </c>
      <c r="L30" s="56" t="s">
        <v>115</v>
      </c>
      <c r="M30" s="56"/>
      <c r="N30" s="56"/>
      <c r="O30" s="56"/>
      <c r="P30" s="56" t="s">
        <v>115</v>
      </c>
      <c r="Q30" s="62" t="s">
        <v>321</v>
      </c>
      <c r="R30" s="63"/>
    </row>
    <row r="31" ht="12.75" customHeight="1">
      <c r="A31" s="48">
        <v>1.0</v>
      </c>
      <c r="B31" s="56">
        <v>1212.0</v>
      </c>
      <c r="C31" s="62" t="s">
        <v>525</v>
      </c>
      <c r="D31" s="61" t="s">
        <v>490</v>
      </c>
      <c r="E31" s="56">
        <v>-821.0</v>
      </c>
      <c r="F31" s="56">
        <v>-413.0</v>
      </c>
      <c r="G31" s="52"/>
      <c r="H31" s="54">
        <f t="shared" si="1"/>
        <v>203</v>
      </c>
      <c r="I31" s="54">
        <f t="shared" si="2"/>
        <v>1437</v>
      </c>
      <c r="J31" s="55"/>
      <c r="K31" s="56" t="s">
        <v>115</v>
      </c>
      <c r="L31" s="56"/>
      <c r="M31" s="56"/>
      <c r="N31" s="56"/>
      <c r="O31" s="56"/>
      <c r="P31" s="56" t="s">
        <v>115</v>
      </c>
      <c r="Q31" s="62" t="s">
        <v>321</v>
      </c>
      <c r="R31" s="63"/>
    </row>
    <row r="32" ht="12.75" customHeight="1">
      <c r="A32" s="48">
        <v>1.0</v>
      </c>
      <c r="B32" s="56">
        <v>1191.0</v>
      </c>
      <c r="C32" s="62" t="s">
        <v>533</v>
      </c>
      <c r="D32" s="49" t="s">
        <v>176</v>
      </c>
      <c r="E32" s="56">
        <v>-563.0</v>
      </c>
      <c r="F32" s="56">
        <v>-583.0</v>
      </c>
      <c r="G32" s="52"/>
      <c r="H32" s="54">
        <f t="shared" si="1"/>
        <v>461</v>
      </c>
      <c r="I32" s="54">
        <f t="shared" si="2"/>
        <v>1607</v>
      </c>
      <c r="J32" s="55"/>
      <c r="K32" s="56" t="s">
        <v>115</v>
      </c>
      <c r="L32" s="56"/>
      <c r="M32" s="56"/>
      <c r="N32" s="56"/>
      <c r="O32" s="56"/>
      <c r="P32" s="56" t="s">
        <v>115</v>
      </c>
      <c r="Q32" s="62" t="s">
        <v>540</v>
      </c>
      <c r="R32" s="63"/>
    </row>
    <row r="33" ht="12.75" customHeight="1">
      <c r="A33" s="48">
        <v>1.0</v>
      </c>
      <c r="B33" s="56">
        <v>1060.0</v>
      </c>
      <c r="C33" s="62" t="s">
        <v>544</v>
      </c>
      <c r="D33" s="49" t="s">
        <v>546</v>
      </c>
      <c r="E33" s="56">
        <v>623.0</v>
      </c>
      <c r="F33" s="56">
        <v>-555.0</v>
      </c>
      <c r="G33" s="52"/>
      <c r="H33" s="54">
        <f t="shared" si="1"/>
        <v>1647</v>
      </c>
      <c r="I33" s="54">
        <f t="shared" si="2"/>
        <v>1579</v>
      </c>
      <c r="J33" s="55"/>
      <c r="K33" s="56" t="s">
        <v>115</v>
      </c>
      <c r="L33" s="56"/>
      <c r="M33" s="56"/>
      <c r="N33" s="56"/>
      <c r="O33" s="56"/>
      <c r="P33" s="56" t="s">
        <v>115</v>
      </c>
      <c r="Q33" s="62" t="s">
        <v>321</v>
      </c>
      <c r="R33" s="63"/>
    </row>
    <row r="34" ht="12.75" customHeight="1">
      <c r="A34" s="62">
        <v>1.0</v>
      </c>
      <c r="B34" s="56">
        <v>11.0</v>
      </c>
      <c r="C34" s="62" t="s">
        <v>557</v>
      </c>
      <c r="D34" s="49" t="s">
        <v>558</v>
      </c>
      <c r="E34" s="56">
        <v>-662.0</v>
      </c>
      <c r="F34" s="56">
        <v>-595.0</v>
      </c>
      <c r="G34" s="52"/>
      <c r="H34" s="54">
        <f t="shared" si="1"/>
        <v>362</v>
      </c>
      <c r="I34" s="54">
        <f t="shared" si="2"/>
        <v>1619</v>
      </c>
      <c r="J34" s="55"/>
      <c r="K34" s="56" t="s">
        <v>115</v>
      </c>
      <c r="L34" s="56"/>
      <c r="M34" s="56"/>
      <c r="N34" s="56"/>
      <c r="O34" s="56"/>
      <c r="P34" s="56" t="s">
        <v>115</v>
      </c>
      <c r="Q34" s="62" t="s">
        <v>567</v>
      </c>
      <c r="R34" s="63"/>
    </row>
    <row r="35" ht="12.75" customHeight="1">
      <c r="A35" s="62">
        <v>3.0</v>
      </c>
      <c r="B35" s="115">
        <v>43891.0</v>
      </c>
      <c r="C35" s="62" t="s">
        <v>574</v>
      </c>
      <c r="D35" s="49" t="s">
        <v>176</v>
      </c>
      <c r="E35" s="56">
        <v>696.0</v>
      </c>
      <c r="F35" s="56">
        <v>-241.0</v>
      </c>
      <c r="G35" s="52"/>
      <c r="H35" s="54">
        <f t="shared" si="1"/>
        <v>1720</v>
      </c>
      <c r="I35" s="54">
        <f t="shared" si="2"/>
        <v>1265</v>
      </c>
      <c r="J35" s="55"/>
      <c r="K35" s="56" t="s">
        <v>115</v>
      </c>
      <c r="L35" s="70"/>
      <c r="M35" s="70"/>
      <c r="N35" s="70"/>
      <c r="O35" s="56" t="s">
        <v>115</v>
      </c>
      <c r="P35" s="56" t="s">
        <v>115</v>
      </c>
      <c r="Q35" s="62" t="s">
        <v>580</v>
      </c>
      <c r="R35" s="63"/>
    </row>
    <row r="36" ht="12.75" customHeight="1">
      <c r="A36" s="62">
        <v>1.0</v>
      </c>
      <c r="B36" s="56">
        <v>1174.0</v>
      </c>
      <c r="C36" s="62" t="s">
        <v>583</v>
      </c>
      <c r="D36" s="49" t="s">
        <v>176</v>
      </c>
      <c r="E36" s="56">
        <v>-509.0</v>
      </c>
      <c r="F36" s="56">
        <v>-170.0</v>
      </c>
      <c r="G36" s="52"/>
      <c r="H36" s="54">
        <f t="shared" si="1"/>
        <v>515</v>
      </c>
      <c r="I36" s="54">
        <f t="shared" si="2"/>
        <v>1194</v>
      </c>
      <c r="J36" s="55"/>
      <c r="K36" s="56" t="s">
        <v>115</v>
      </c>
      <c r="L36" s="70"/>
      <c r="M36" s="70"/>
      <c r="N36" s="70"/>
      <c r="O36" s="56"/>
      <c r="P36" s="56" t="s">
        <v>115</v>
      </c>
      <c r="Q36" s="62" t="s">
        <v>593</v>
      </c>
      <c r="R36" s="63"/>
    </row>
    <row r="37" ht="12.75" customHeight="1">
      <c r="A37" s="62">
        <v>1.0</v>
      </c>
      <c r="B37" s="92">
        <v>1025.0</v>
      </c>
      <c r="C37" s="62" t="s">
        <v>595</v>
      </c>
      <c r="D37" s="49" t="s">
        <v>176</v>
      </c>
      <c r="E37" s="56">
        <v>-66.0</v>
      </c>
      <c r="F37" s="56">
        <v>-676.0</v>
      </c>
      <c r="G37" s="52"/>
      <c r="H37" s="54">
        <f t="shared" si="1"/>
        <v>958</v>
      </c>
      <c r="I37" s="54">
        <f t="shared" si="2"/>
        <v>1700</v>
      </c>
      <c r="J37" s="55"/>
      <c r="K37" s="56" t="s">
        <v>115</v>
      </c>
      <c r="L37" s="70"/>
      <c r="M37" s="70"/>
      <c r="N37" s="70"/>
      <c r="O37" s="56"/>
      <c r="P37" s="56" t="s">
        <v>115</v>
      </c>
      <c r="Q37" s="62" t="s">
        <v>602</v>
      </c>
      <c r="R37" s="63"/>
    </row>
    <row r="38" ht="12.75" customHeight="1">
      <c r="A38" s="62">
        <v>1.0</v>
      </c>
      <c r="B38" s="56">
        <v>1224.0</v>
      </c>
      <c r="C38" s="62" t="s">
        <v>604</v>
      </c>
      <c r="D38" s="49" t="s">
        <v>176</v>
      </c>
      <c r="E38" s="56">
        <v>-593.0</v>
      </c>
      <c r="F38" s="56">
        <v>803.0</v>
      </c>
      <c r="G38" s="52"/>
      <c r="H38" s="54">
        <f t="shared" si="1"/>
        <v>431</v>
      </c>
      <c r="I38" s="54">
        <f t="shared" si="2"/>
        <v>221</v>
      </c>
      <c r="J38" s="55"/>
      <c r="K38" s="56" t="s">
        <v>115</v>
      </c>
      <c r="L38" s="70"/>
      <c r="M38" s="70"/>
      <c r="N38" s="70"/>
      <c r="O38" s="56"/>
      <c r="P38" s="56" t="s">
        <v>115</v>
      </c>
      <c r="Q38" s="62" t="s">
        <v>580</v>
      </c>
      <c r="R38" s="63"/>
    </row>
    <row r="39" ht="12.75" customHeight="1">
      <c r="A39" s="62">
        <v>1.0</v>
      </c>
      <c r="B39" s="56">
        <v>1226.0</v>
      </c>
      <c r="C39" s="62" t="s">
        <v>612</v>
      </c>
      <c r="D39" s="49" t="s">
        <v>176</v>
      </c>
      <c r="E39" s="56">
        <v>-593.0</v>
      </c>
      <c r="F39" s="56">
        <v>803.0</v>
      </c>
      <c r="G39" s="52"/>
      <c r="H39" s="54">
        <f t="shared" si="1"/>
        <v>431</v>
      </c>
      <c r="I39" s="54">
        <f t="shared" si="2"/>
        <v>221</v>
      </c>
      <c r="J39" s="55"/>
      <c r="K39" s="56" t="s">
        <v>115</v>
      </c>
      <c r="L39" s="70"/>
      <c r="M39" s="70"/>
      <c r="N39" s="70"/>
      <c r="O39" s="56"/>
      <c r="P39" s="56" t="s">
        <v>115</v>
      </c>
      <c r="Q39" s="62" t="s">
        <v>580</v>
      </c>
      <c r="R39" s="63"/>
    </row>
    <row r="40" ht="12.75" customHeight="1">
      <c r="A40" s="62">
        <v>1.0</v>
      </c>
      <c r="B40" s="92">
        <v>1388.0</v>
      </c>
      <c r="C40" s="62" t="s">
        <v>618</v>
      </c>
      <c r="D40" s="49" t="s">
        <v>176</v>
      </c>
      <c r="E40" s="56">
        <v>-588.0</v>
      </c>
      <c r="F40" s="56">
        <v>474.0</v>
      </c>
      <c r="G40" s="52"/>
      <c r="H40" s="54">
        <f t="shared" si="1"/>
        <v>436</v>
      </c>
      <c r="I40" s="54">
        <f t="shared" si="2"/>
        <v>550</v>
      </c>
      <c r="J40" s="55"/>
      <c r="K40" s="56" t="s">
        <v>115</v>
      </c>
      <c r="L40" s="70"/>
      <c r="M40" s="70"/>
      <c r="N40" s="70"/>
      <c r="O40" s="56"/>
      <c r="P40" s="56" t="s">
        <v>115</v>
      </c>
      <c r="Q40" s="62" t="s">
        <v>623</v>
      </c>
      <c r="R40" s="63"/>
    </row>
    <row r="41" ht="12.75" customHeight="1">
      <c r="A41" s="62">
        <v>1.0</v>
      </c>
      <c r="B41" s="56">
        <v>1113.0</v>
      </c>
      <c r="C41" s="62" t="s">
        <v>626</v>
      </c>
      <c r="D41" s="49" t="s">
        <v>176</v>
      </c>
      <c r="E41" s="56">
        <v>234.0</v>
      </c>
      <c r="F41" s="56">
        <v>282.0</v>
      </c>
      <c r="G41" s="52"/>
      <c r="H41" s="54">
        <f t="shared" si="1"/>
        <v>1258</v>
      </c>
      <c r="I41" s="54">
        <f t="shared" si="2"/>
        <v>742</v>
      </c>
      <c r="J41" s="55"/>
      <c r="K41" s="56" t="s">
        <v>115</v>
      </c>
      <c r="L41" s="70"/>
      <c r="M41" s="70"/>
      <c r="N41" s="70"/>
      <c r="O41" s="56" t="s">
        <v>186</v>
      </c>
      <c r="P41" s="56" t="s">
        <v>115</v>
      </c>
      <c r="Q41" s="62" t="s">
        <v>580</v>
      </c>
      <c r="R41" s="63"/>
    </row>
    <row r="42" ht="12.75" customHeight="1">
      <c r="A42" s="62">
        <v>1.0</v>
      </c>
      <c r="B42" s="56">
        <v>91.0</v>
      </c>
      <c r="C42" s="62" t="s">
        <v>637</v>
      </c>
      <c r="D42" s="49" t="s">
        <v>638</v>
      </c>
      <c r="E42" s="56">
        <v>-496.0</v>
      </c>
      <c r="F42" s="56">
        <v>-121.0</v>
      </c>
      <c r="G42" s="52"/>
      <c r="H42" s="54">
        <f t="shared" si="1"/>
        <v>528</v>
      </c>
      <c r="I42" s="54">
        <f t="shared" si="2"/>
        <v>1145</v>
      </c>
      <c r="J42" s="55"/>
      <c r="K42" s="56" t="s">
        <v>115</v>
      </c>
      <c r="L42" s="56" t="s">
        <v>115</v>
      </c>
      <c r="M42" s="56"/>
      <c r="N42" s="56"/>
      <c r="O42" s="56"/>
      <c r="P42" s="56" t="s">
        <v>115</v>
      </c>
      <c r="Q42" s="62" t="s">
        <v>648</v>
      </c>
      <c r="R42" s="63"/>
    </row>
    <row r="43" ht="12.75" customHeight="1">
      <c r="A43" s="62">
        <v>1.0</v>
      </c>
      <c r="B43" s="56">
        <v>175.0</v>
      </c>
      <c r="C43" s="124" t="s">
        <v>652</v>
      </c>
      <c r="D43" s="49" t="s">
        <v>656</v>
      </c>
      <c r="E43" s="56">
        <v>-259.0</v>
      </c>
      <c r="F43" s="56">
        <v>-249.0</v>
      </c>
      <c r="G43" s="52"/>
      <c r="H43" s="54">
        <f t="shared" si="1"/>
        <v>765</v>
      </c>
      <c r="I43" s="54">
        <f t="shared" si="2"/>
        <v>1273</v>
      </c>
      <c r="J43" s="55"/>
      <c r="K43" s="56" t="s">
        <v>115</v>
      </c>
      <c r="L43" s="70"/>
      <c r="M43" s="70"/>
      <c r="N43" s="70"/>
      <c r="O43" s="56"/>
      <c r="P43" s="56" t="s">
        <v>115</v>
      </c>
      <c r="Q43" s="62" t="s">
        <v>661</v>
      </c>
      <c r="R43" s="63"/>
    </row>
    <row r="44" ht="12.75" customHeight="1">
      <c r="A44" s="62">
        <v>1.0</v>
      </c>
      <c r="B44" s="92">
        <v>1507.0</v>
      </c>
      <c r="C44" s="62" t="s">
        <v>664</v>
      </c>
      <c r="D44" s="49" t="s">
        <v>665</v>
      </c>
      <c r="E44" s="56">
        <v>-367.0</v>
      </c>
      <c r="F44" s="56">
        <v>-787.0</v>
      </c>
      <c r="G44" s="52"/>
      <c r="H44" s="54">
        <f t="shared" si="1"/>
        <v>657</v>
      </c>
      <c r="I44" s="54">
        <f t="shared" si="2"/>
        <v>1811</v>
      </c>
      <c r="J44" s="55"/>
      <c r="K44" s="56" t="s">
        <v>115</v>
      </c>
      <c r="L44" s="56" t="s">
        <v>115</v>
      </c>
      <c r="M44" s="56"/>
      <c r="N44" s="56"/>
      <c r="O44" s="56"/>
      <c r="P44" s="56" t="s">
        <v>115</v>
      </c>
      <c r="Q44" s="62" t="s">
        <v>669</v>
      </c>
      <c r="R44" s="63"/>
    </row>
    <row r="45" ht="12.75" customHeight="1">
      <c r="A45" s="62">
        <v>1.0</v>
      </c>
      <c r="B45" s="92">
        <v>1097.0</v>
      </c>
      <c r="C45" s="124" t="s">
        <v>672</v>
      </c>
      <c r="D45" s="49" t="s">
        <v>665</v>
      </c>
      <c r="E45" s="56">
        <v>358.0</v>
      </c>
      <c r="F45" s="56">
        <v>601.0</v>
      </c>
      <c r="G45" s="52"/>
      <c r="H45" s="54">
        <f t="shared" si="1"/>
        <v>1382</v>
      </c>
      <c r="I45" s="54">
        <f t="shared" si="2"/>
        <v>423</v>
      </c>
      <c r="J45" s="55"/>
      <c r="K45" s="56" t="s">
        <v>115</v>
      </c>
      <c r="L45" s="70"/>
      <c r="M45" s="70"/>
      <c r="N45" s="70"/>
      <c r="O45" s="56"/>
      <c r="P45" s="56" t="s">
        <v>115</v>
      </c>
      <c r="Q45" s="62" t="s">
        <v>677</v>
      </c>
      <c r="R45" s="63"/>
    </row>
    <row r="46" ht="12.75" customHeight="1">
      <c r="A46" s="62">
        <v>1.0</v>
      </c>
      <c r="B46" s="92">
        <v>1123.0</v>
      </c>
      <c r="C46" s="62" t="s">
        <v>679</v>
      </c>
      <c r="D46" s="49" t="s">
        <v>681</v>
      </c>
      <c r="E46" s="56">
        <v>-302.0</v>
      </c>
      <c r="F46" s="56">
        <v>579.0</v>
      </c>
      <c r="G46" s="52"/>
      <c r="H46" s="54">
        <f t="shared" si="1"/>
        <v>722</v>
      </c>
      <c r="I46" s="54">
        <f t="shared" si="2"/>
        <v>445</v>
      </c>
      <c r="J46" s="55"/>
      <c r="K46" s="56" t="s">
        <v>115</v>
      </c>
      <c r="L46" s="56" t="s">
        <v>115</v>
      </c>
      <c r="M46" s="56"/>
      <c r="N46" s="56"/>
      <c r="O46" s="56"/>
      <c r="P46" s="56" t="s">
        <v>115</v>
      </c>
      <c r="Q46" s="62" t="s">
        <v>321</v>
      </c>
      <c r="R46" s="63"/>
    </row>
    <row r="47" ht="12.75" customHeight="1">
      <c r="A47" s="62">
        <v>1.0</v>
      </c>
      <c r="B47" s="56">
        <v>1075.0</v>
      </c>
      <c r="C47" s="62" t="s">
        <v>689</v>
      </c>
      <c r="D47" s="49" t="s">
        <v>176</v>
      </c>
      <c r="E47" s="56">
        <v>-531.0</v>
      </c>
      <c r="F47" s="56">
        <v>105.0</v>
      </c>
      <c r="G47" s="52"/>
      <c r="H47" s="54">
        <f t="shared" si="1"/>
        <v>493</v>
      </c>
      <c r="I47" s="54">
        <f t="shared" si="2"/>
        <v>919</v>
      </c>
      <c r="J47" s="55"/>
      <c r="K47" s="56" t="s">
        <v>115</v>
      </c>
      <c r="L47" s="70"/>
      <c r="M47" s="70"/>
      <c r="N47" s="70"/>
      <c r="O47" s="56"/>
      <c r="P47" s="56" t="s">
        <v>115</v>
      </c>
      <c r="Q47" s="62" t="s">
        <v>158</v>
      </c>
      <c r="R47" s="63"/>
    </row>
    <row r="48" ht="12.75" customHeight="1">
      <c r="A48" s="48">
        <v>1.0</v>
      </c>
      <c r="B48" s="92">
        <v>1147.0</v>
      </c>
      <c r="C48" s="48" t="s">
        <v>694</v>
      </c>
      <c r="D48" s="129">
        <v>44075.0</v>
      </c>
      <c r="E48" s="49">
        <v>-145.0</v>
      </c>
      <c r="F48" s="49">
        <v>-164.0</v>
      </c>
      <c r="G48" s="52"/>
      <c r="H48" s="54">
        <f t="shared" si="1"/>
        <v>879</v>
      </c>
      <c r="I48" s="54">
        <f t="shared" si="2"/>
        <v>1188</v>
      </c>
      <c r="J48" s="55"/>
      <c r="K48" s="56" t="s">
        <v>115</v>
      </c>
      <c r="L48" s="70"/>
      <c r="M48" s="70"/>
      <c r="N48" s="70"/>
      <c r="O48" s="56"/>
      <c r="P48" s="56" t="s">
        <v>115</v>
      </c>
      <c r="Q48" s="62" t="s">
        <v>703</v>
      </c>
      <c r="R48" s="63"/>
    </row>
    <row r="49" ht="12.75" customHeight="1">
      <c r="A49" s="48">
        <v>1.0</v>
      </c>
      <c r="B49" s="92">
        <v>74.0</v>
      </c>
      <c r="C49" s="48" t="s">
        <v>707</v>
      </c>
      <c r="D49" s="129">
        <v>43891.0</v>
      </c>
      <c r="E49" s="49">
        <v>-207.0</v>
      </c>
      <c r="F49" s="49">
        <v>-156.0</v>
      </c>
      <c r="G49" s="52"/>
      <c r="H49" s="54">
        <f t="shared" si="1"/>
        <v>817</v>
      </c>
      <c r="I49" s="54">
        <f t="shared" si="2"/>
        <v>1180</v>
      </c>
      <c r="J49" s="55"/>
      <c r="K49" s="56" t="s">
        <v>115</v>
      </c>
      <c r="L49" s="70"/>
      <c r="M49" s="70"/>
      <c r="N49" s="70"/>
      <c r="O49" s="56"/>
      <c r="P49" s="56" t="s">
        <v>115</v>
      </c>
      <c r="Q49" s="62" t="s">
        <v>712</v>
      </c>
      <c r="R49" s="63"/>
    </row>
    <row r="50" ht="12.75" customHeight="1">
      <c r="A50" s="48">
        <v>1.0</v>
      </c>
      <c r="B50" s="92">
        <v>1433.0</v>
      </c>
      <c r="C50" s="48" t="s">
        <v>715</v>
      </c>
      <c r="D50" s="129">
        <v>44105.0</v>
      </c>
      <c r="E50" s="49">
        <v>-149.0</v>
      </c>
      <c r="F50" s="49">
        <v>-271.0</v>
      </c>
      <c r="G50" s="52"/>
      <c r="H50" s="54">
        <f t="shared" si="1"/>
        <v>875</v>
      </c>
      <c r="I50" s="54">
        <f t="shared" si="2"/>
        <v>1295</v>
      </c>
      <c r="J50" s="55"/>
      <c r="K50" s="56" t="s">
        <v>115</v>
      </c>
      <c r="L50" s="56" t="s">
        <v>115</v>
      </c>
      <c r="M50" s="56"/>
      <c r="N50" s="56"/>
      <c r="O50" s="56"/>
      <c r="P50" s="56" t="s">
        <v>115</v>
      </c>
      <c r="Q50" s="62" t="s">
        <v>703</v>
      </c>
      <c r="R50" s="63"/>
    </row>
    <row r="51" ht="12.75" customHeight="1">
      <c r="A51" s="48">
        <v>0.0</v>
      </c>
      <c r="B51" s="92">
        <v>128.0</v>
      </c>
      <c r="C51" s="48" t="s">
        <v>722</v>
      </c>
      <c r="D51" s="129"/>
      <c r="E51" s="49">
        <v>51.0</v>
      </c>
      <c r="F51" s="49">
        <v>50.0</v>
      </c>
      <c r="G51" s="52"/>
      <c r="H51" s="54">
        <f t="shared" si="1"/>
        <v>1075</v>
      </c>
      <c r="I51" s="54">
        <f t="shared" si="2"/>
        <v>974</v>
      </c>
      <c r="J51" s="55"/>
      <c r="K51" s="56"/>
      <c r="L51" s="56"/>
      <c r="M51" s="56"/>
      <c r="N51" s="56"/>
      <c r="O51" s="56"/>
      <c r="P51" s="56"/>
      <c r="Q51" s="62" t="s">
        <v>730</v>
      </c>
      <c r="R51" s="63"/>
    </row>
    <row r="52" ht="12.75" customHeight="1">
      <c r="A52" s="48">
        <v>1.0</v>
      </c>
      <c r="B52" s="49">
        <v>1385.0</v>
      </c>
      <c r="C52" s="48" t="s">
        <v>733</v>
      </c>
      <c r="D52" s="49" t="s">
        <v>735</v>
      </c>
      <c r="E52" s="49">
        <v>386.0</v>
      </c>
      <c r="F52" s="49">
        <v>723.0</v>
      </c>
      <c r="G52" s="52"/>
      <c r="H52" s="54">
        <f t="shared" si="1"/>
        <v>1410</v>
      </c>
      <c r="I52" s="54">
        <f t="shared" si="2"/>
        <v>301</v>
      </c>
      <c r="J52" s="55"/>
      <c r="K52" s="70"/>
      <c r="L52" s="70"/>
      <c r="M52" s="70"/>
      <c r="N52" s="70"/>
      <c r="O52" s="70"/>
      <c r="P52" s="56" t="s">
        <v>115</v>
      </c>
      <c r="Q52" s="62" t="s">
        <v>744</v>
      </c>
      <c r="R52" s="63"/>
    </row>
    <row r="53" ht="12.75" customHeight="1">
      <c r="A53" s="48">
        <v>1.0</v>
      </c>
      <c r="B53" s="49">
        <v>290.0</v>
      </c>
      <c r="C53" s="48" t="s">
        <v>748</v>
      </c>
      <c r="D53" s="49">
        <v>13.0</v>
      </c>
      <c r="E53" s="49">
        <v>-46.0</v>
      </c>
      <c r="F53" s="49">
        <v>-164.0</v>
      </c>
      <c r="G53" s="52"/>
      <c r="H53" s="54">
        <f t="shared" si="1"/>
        <v>978</v>
      </c>
      <c r="I53" s="54">
        <f t="shared" si="2"/>
        <v>1188</v>
      </c>
      <c r="J53" s="55"/>
      <c r="K53" s="70"/>
      <c r="L53" s="70"/>
      <c r="M53" s="70"/>
      <c r="N53" s="70"/>
      <c r="O53" s="70"/>
      <c r="P53" s="56" t="s">
        <v>115</v>
      </c>
      <c r="Q53" s="62" t="s">
        <v>759</v>
      </c>
      <c r="R53" s="63"/>
    </row>
    <row r="54" ht="12.75" customHeight="1">
      <c r="A54" s="48">
        <v>1.0</v>
      </c>
      <c r="B54" s="49">
        <v>1328.0</v>
      </c>
      <c r="C54" s="140" t="s">
        <v>762</v>
      </c>
      <c r="D54" s="49">
        <v>30.0</v>
      </c>
      <c r="E54" s="49">
        <v>-285.0</v>
      </c>
      <c r="F54" s="49">
        <v>-359.0</v>
      </c>
      <c r="G54" s="52"/>
      <c r="H54" s="54">
        <f t="shared" si="1"/>
        <v>739</v>
      </c>
      <c r="I54" s="54">
        <f t="shared" si="2"/>
        <v>1383</v>
      </c>
      <c r="J54" s="55"/>
      <c r="K54" s="70"/>
      <c r="L54" s="70"/>
      <c r="M54" s="70"/>
      <c r="N54" s="70"/>
      <c r="O54" s="70"/>
      <c r="P54" s="56" t="s">
        <v>115</v>
      </c>
      <c r="Q54" s="62" t="s">
        <v>771</v>
      </c>
      <c r="R54" s="63"/>
    </row>
    <row r="55" ht="12.75" customHeight="1">
      <c r="A55" s="48">
        <v>1.0</v>
      </c>
      <c r="B55" s="49">
        <v>1330.0</v>
      </c>
      <c r="C55" s="48" t="s">
        <v>772</v>
      </c>
      <c r="D55" s="49" t="s">
        <v>176</v>
      </c>
      <c r="E55" s="49">
        <v>-155.0</v>
      </c>
      <c r="F55" s="49">
        <v>-551.0</v>
      </c>
      <c r="G55" s="52"/>
      <c r="H55" s="54">
        <f t="shared" si="1"/>
        <v>869</v>
      </c>
      <c r="I55" s="54">
        <f t="shared" si="2"/>
        <v>1575</v>
      </c>
      <c r="J55" s="55"/>
      <c r="K55" s="70"/>
      <c r="L55" s="70"/>
      <c r="M55" s="70"/>
      <c r="N55" s="70"/>
      <c r="O55" s="70"/>
      <c r="P55" s="56" t="s">
        <v>115</v>
      </c>
      <c r="Q55" s="62" t="s">
        <v>777</v>
      </c>
      <c r="R55" s="63"/>
    </row>
    <row r="56" ht="12.75" customHeight="1">
      <c r="A56" s="48">
        <v>1.0</v>
      </c>
      <c r="B56" s="49">
        <v>4.0</v>
      </c>
      <c r="C56" s="48" t="s">
        <v>778</v>
      </c>
      <c r="D56" s="49">
        <v>14.0</v>
      </c>
      <c r="E56" s="49">
        <v>-391.0</v>
      </c>
      <c r="F56" s="92">
        <v>-266.0</v>
      </c>
      <c r="G56" s="52"/>
      <c r="H56" s="54">
        <f t="shared" si="1"/>
        <v>633</v>
      </c>
      <c r="I56" s="54">
        <f t="shared" si="2"/>
        <v>1290</v>
      </c>
      <c r="J56" s="55"/>
      <c r="K56" s="70"/>
      <c r="L56" s="70"/>
      <c r="M56" s="70"/>
      <c r="N56" s="70"/>
      <c r="O56" s="70"/>
      <c r="P56" s="56" t="s">
        <v>115</v>
      </c>
      <c r="Q56" s="62" t="s">
        <v>781</v>
      </c>
      <c r="R56" s="63"/>
    </row>
    <row r="57" ht="12.75" customHeight="1">
      <c r="A57" s="48">
        <v>1.0</v>
      </c>
      <c r="B57" s="49">
        <v>1596.0</v>
      </c>
      <c r="C57" s="48" t="s">
        <v>784</v>
      </c>
      <c r="D57" s="49">
        <v>16.0</v>
      </c>
      <c r="E57" s="49">
        <v>-474.0</v>
      </c>
      <c r="F57" s="49">
        <v>-220.0</v>
      </c>
      <c r="G57" s="52"/>
      <c r="H57" s="54">
        <f t="shared" si="1"/>
        <v>550</v>
      </c>
      <c r="I57" s="54">
        <f t="shared" si="2"/>
        <v>1244</v>
      </c>
      <c r="J57" s="55"/>
      <c r="K57" s="70"/>
      <c r="L57" s="70"/>
      <c r="M57" s="70"/>
      <c r="N57" s="70"/>
      <c r="O57" s="70"/>
      <c r="P57" s="56" t="s">
        <v>115</v>
      </c>
      <c r="Q57" s="62" t="s">
        <v>796</v>
      </c>
      <c r="R57" s="63"/>
    </row>
    <row r="58" ht="12.75" customHeight="1">
      <c r="A58" s="48">
        <v>1.0</v>
      </c>
      <c r="B58" s="49">
        <v>1262.0</v>
      </c>
      <c r="C58" s="48" t="s">
        <v>799</v>
      </c>
      <c r="D58" s="49">
        <v>18.0</v>
      </c>
      <c r="E58" s="49">
        <v>-159.0</v>
      </c>
      <c r="F58" s="49">
        <v>-367.0</v>
      </c>
      <c r="G58" s="52"/>
      <c r="H58" s="54">
        <f t="shared" si="1"/>
        <v>865</v>
      </c>
      <c r="I58" s="54">
        <f t="shared" si="2"/>
        <v>1391</v>
      </c>
      <c r="J58" s="55"/>
      <c r="K58" s="70"/>
      <c r="L58" s="70"/>
      <c r="M58" s="70"/>
      <c r="N58" s="70"/>
      <c r="O58" s="70"/>
      <c r="P58" s="56" t="s">
        <v>115</v>
      </c>
      <c r="Q58" s="62" t="s">
        <v>813</v>
      </c>
      <c r="R58" s="63"/>
    </row>
    <row r="59" ht="12.75" customHeight="1">
      <c r="A59" s="48">
        <v>1.0</v>
      </c>
      <c r="B59" s="49">
        <v>1387.0</v>
      </c>
      <c r="C59" s="48" t="s">
        <v>815</v>
      </c>
      <c r="D59" s="49" t="s">
        <v>218</v>
      </c>
      <c r="E59" s="49">
        <v>-689.0</v>
      </c>
      <c r="F59" s="49">
        <v>-144.0</v>
      </c>
      <c r="G59" s="52"/>
      <c r="H59" s="54">
        <f t="shared" si="1"/>
        <v>335</v>
      </c>
      <c r="I59" s="54">
        <f t="shared" si="2"/>
        <v>1168</v>
      </c>
      <c r="J59" s="55"/>
      <c r="K59" s="70"/>
      <c r="L59" s="142"/>
      <c r="M59" s="70"/>
      <c r="N59" s="70"/>
      <c r="O59" s="70"/>
      <c r="P59" s="56" t="s">
        <v>115</v>
      </c>
      <c r="Q59" s="62" t="s">
        <v>833</v>
      </c>
      <c r="R59" s="63"/>
    </row>
    <row r="60" ht="12.75" customHeight="1">
      <c r="A60" s="48">
        <v>1.0</v>
      </c>
      <c r="B60" s="49">
        <v>1451.0</v>
      </c>
      <c r="C60" s="48" t="s">
        <v>837</v>
      </c>
      <c r="D60" s="49" t="s">
        <v>218</v>
      </c>
      <c r="E60" s="49">
        <v>515.0</v>
      </c>
      <c r="F60" s="49">
        <v>536.0</v>
      </c>
      <c r="G60" s="52"/>
      <c r="H60" s="54">
        <f t="shared" si="1"/>
        <v>1539</v>
      </c>
      <c r="I60" s="54">
        <f t="shared" si="2"/>
        <v>488</v>
      </c>
      <c r="J60" s="55"/>
      <c r="K60" s="70"/>
      <c r="L60" s="70"/>
      <c r="M60" s="70"/>
      <c r="N60" s="70"/>
      <c r="O60" s="70"/>
      <c r="P60" s="56" t="s">
        <v>115</v>
      </c>
      <c r="Q60" s="62" t="s">
        <v>848</v>
      </c>
      <c r="R60" s="143"/>
    </row>
    <row r="61" ht="12.75" customHeight="1">
      <c r="A61" s="48">
        <v>1.0</v>
      </c>
      <c r="B61" s="49">
        <v>1170.0</v>
      </c>
      <c r="C61" s="48" t="s">
        <v>854</v>
      </c>
      <c r="D61" s="49" t="s">
        <v>218</v>
      </c>
      <c r="E61" s="49">
        <v>12.0</v>
      </c>
      <c r="F61" s="49">
        <v>903.0</v>
      </c>
      <c r="G61" s="52"/>
      <c r="H61" s="54">
        <f t="shared" si="1"/>
        <v>1036</v>
      </c>
      <c r="I61" s="54">
        <f t="shared" si="2"/>
        <v>121</v>
      </c>
      <c r="J61" s="55"/>
      <c r="K61" s="70"/>
      <c r="L61" s="70"/>
      <c r="M61" s="70"/>
      <c r="N61" s="70"/>
      <c r="O61" s="70"/>
      <c r="P61" s="56" t="s">
        <v>115</v>
      </c>
      <c r="Q61" s="62" t="s">
        <v>864</v>
      </c>
      <c r="R61" s="143"/>
    </row>
    <row r="62" ht="12.75" customHeight="1">
      <c r="A62" s="48">
        <v>1.0</v>
      </c>
      <c r="B62" s="49">
        <v>1078.0</v>
      </c>
      <c r="C62" s="48" t="s">
        <v>867</v>
      </c>
      <c r="D62" s="49" t="s">
        <v>218</v>
      </c>
      <c r="E62" s="49">
        <v>-856.0</v>
      </c>
      <c r="F62" s="49">
        <v>208.0</v>
      </c>
      <c r="G62" s="52"/>
      <c r="H62" s="54">
        <f t="shared" si="1"/>
        <v>168</v>
      </c>
      <c r="I62" s="54">
        <f t="shared" si="2"/>
        <v>816</v>
      </c>
      <c r="J62" s="55"/>
      <c r="K62" s="70"/>
      <c r="L62" s="70"/>
      <c r="M62" s="70"/>
      <c r="N62" s="70"/>
      <c r="O62" s="70"/>
      <c r="P62" s="56" t="s">
        <v>115</v>
      </c>
      <c r="Q62" s="62" t="s">
        <v>881</v>
      </c>
      <c r="R62" s="143"/>
    </row>
    <row r="63" ht="12.75" customHeight="1">
      <c r="A63" s="48">
        <v>1.0</v>
      </c>
      <c r="B63" s="49">
        <v>1148.0</v>
      </c>
      <c r="C63" s="48" t="s">
        <v>884</v>
      </c>
      <c r="D63" s="49" t="s">
        <v>218</v>
      </c>
      <c r="E63" s="49">
        <v>809.0</v>
      </c>
      <c r="F63" s="49">
        <v>-247.0</v>
      </c>
      <c r="G63" s="52"/>
      <c r="H63" s="54">
        <f t="shared" si="1"/>
        <v>1833</v>
      </c>
      <c r="I63" s="54">
        <f t="shared" si="2"/>
        <v>1271</v>
      </c>
      <c r="J63" s="55"/>
      <c r="K63" s="70"/>
      <c r="L63" s="70"/>
      <c r="M63" s="70"/>
      <c r="N63" s="70"/>
      <c r="O63" s="70"/>
      <c r="P63" s="56" t="s">
        <v>115</v>
      </c>
      <c r="Q63" s="62" t="s">
        <v>893</v>
      </c>
      <c r="R63" s="143"/>
    </row>
    <row r="64" ht="12.75" customHeight="1">
      <c r="A64" s="48">
        <v>1.0</v>
      </c>
      <c r="B64" s="49">
        <v>1024.0</v>
      </c>
      <c r="C64" s="48" t="s">
        <v>898</v>
      </c>
      <c r="D64" s="49" t="s">
        <v>218</v>
      </c>
      <c r="E64" s="49">
        <v>-194.0</v>
      </c>
      <c r="F64" s="49">
        <v>581.0</v>
      </c>
      <c r="G64" s="52"/>
      <c r="H64" s="54">
        <f t="shared" si="1"/>
        <v>830</v>
      </c>
      <c r="I64" s="54">
        <f t="shared" si="2"/>
        <v>443</v>
      </c>
      <c r="J64" s="55"/>
      <c r="K64" s="70"/>
      <c r="L64" s="70"/>
      <c r="M64" s="70"/>
      <c r="N64" s="70"/>
      <c r="O64" s="70"/>
      <c r="P64" s="56" t="s">
        <v>115</v>
      </c>
      <c r="Q64" s="62" t="s">
        <v>909</v>
      </c>
      <c r="R64" s="143"/>
    </row>
    <row r="65" ht="13.5" customHeight="1">
      <c r="A65" s="146">
        <v>1.0</v>
      </c>
      <c r="B65" s="147">
        <v>1575.0</v>
      </c>
      <c r="C65" s="148" t="s">
        <v>518</v>
      </c>
      <c r="D65" s="149" t="s">
        <v>923</v>
      </c>
      <c r="E65" s="147">
        <v>-357.0</v>
      </c>
      <c r="F65" s="147">
        <v>-183.0</v>
      </c>
      <c r="G65" s="150"/>
      <c r="H65" s="54">
        <f t="shared" si="1"/>
        <v>667</v>
      </c>
      <c r="I65" s="54">
        <f t="shared" si="2"/>
        <v>1207</v>
      </c>
      <c r="J65" s="151" t="s">
        <v>936</v>
      </c>
      <c r="K65" s="152"/>
      <c r="L65" s="152"/>
      <c r="M65" s="153"/>
      <c r="N65" s="153"/>
      <c r="O65" s="153"/>
      <c r="P65" s="154" t="s">
        <v>115</v>
      </c>
      <c r="Q65" s="116" t="s">
        <v>947</v>
      </c>
      <c r="R65" s="155"/>
    </row>
    <row r="66" ht="12.75" customHeight="1">
      <c r="A66" s="146">
        <v>1.0</v>
      </c>
      <c r="B66" s="147">
        <v>1218.0</v>
      </c>
      <c r="C66" s="148" t="s">
        <v>524</v>
      </c>
      <c r="D66" s="149" t="s">
        <v>158</v>
      </c>
      <c r="E66" s="147">
        <v>764.0</v>
      </c>
      <c r="F66" s="147">
        <v>-592.0</v>
      </c>
      <c r="G66" s="150"/>
      <c r="H66" s="54">
        <f t="shared" si="1"/>
        <v>1788</v>
      </c>
      <c r="I66" s="54">
        <f t="shared" si="2"/>
        <v>1616</v>
      </c>
      <c r="J66" s="55"/>
      <c r="K66" s="152"/>
      <c r="L66" s="152"/>
      <c r="M66" s="153"/>
      <c r="N66" s="153"/>
      <c r="O66" s="153"/>
      <c r="P66" s="154" t="s">
        <v>115</v>
      </c>
      <c r="Q66" s="116" t="s">
        <v>955</v>
      </c>
      <c r="R66" s="155"/>
    </row>
    <row r="67" ht="12.75" customHeight="1">
      <c r="A67" s="146">
        <v>1.0</v>
      </c>
      <c r="B67" s="147">
        <v>1409.0</v>
      </c>
      <c r="C67" s="148" t="s">
        <v>956</v>
      </c>
      <c r="D67" s="149" t="s">
        <v>218</v>
      </c>
      <c r="E67" s="147">
        <v>-29.0</v>
      </c>
      <c r="F67" s="147">
        <v>-335.0</v>
      </c>
      <c r="G67" s="150"/>
      <c r="H67" s="54">
        <f t="shared" si="1"/>
        <v>995</v>
      </c>
      <c r="I67" s="54">
        <f t="shared" si="2"/>
        <v>1359</v>
      </c>
      <c r="J67" s="55"/>
      <c r="K67" s="152"/>
      <c r="L67" s="152"/>
      <c r="M67" s="153"/>
      <c r="N67" s="153"/>
      <c r="O67" s="153"/>
      <c r="P67" s="154" t="s">
        <v>115</v>
      </c>
      <c r="Q67" s="116" t="s">
        <v>964</v>
      </c>
      <c r="R67" s="155"/>
    </row>
    <row r="68" ht="12.75" customHeight="1">
      <c r="A68" s="146">
        <v>1.0</v>
      </c>
      <c r="B68" s="147">
        <v>1018.0</v>
      </c>
      <c r="C68" s="140" t="s">
        <v>967</v>
      </c>
      <c r="D68" s="149" t="s">
        <v>969</v>
      </c>
      <c r="E68" s="147">
        <v>-411.0</v>
      </c>
      <c r="F68" s="147">
        <v>-585.0</v>
      </c>
      <c r="G68" s="150"/>
      <c r="H68" s="54">
        <f t="shared" si="1"/>
        <v>613</v>
      </c>
      <c r="I68" s="54">
        <f t="shared" si="2"/>
        <v>1609</v>
      </c>
      <c r="J68" s="55"/>
      <c r="K68" s="152"/>
      <c r="L68" s="152"/>
      <c r="M68" s="153"/>
      <c r="N68" s="153"/>
      <c r="O68" s="153"/>
      <c r="P68" s="154" t="s">
        <v>115</v>
      </c>
      <c r="Q68" s="140" t="s">
        <v>980</v>
      </c>
      <c r="R68" s="155"/>
    </row>
    <row r="69" ht="12.75" customHeight="1">
      <c r="A69" s="146">
        <v>1.0</v>
      </c>
      <c r="B69" s="147">
        <v>1092.0</v>
      </c>
      <c r="C69" s="156" t="s">
        <v>982</v>
      </c>
      <c r="D69" s="157">
        <v>19.821</v>
      </c>
      <c r="E69" s="147">
        <v>-220.0</v>
      </c>
      <c r="F69" s="147">
        <v>-294.0</v>
      </c>
      <c r="G69" s="150"/>
      <c r="H69" s="54">
        <f t="shared" si="1"/>
        <v>804</v>
      </c>
      <c r="I69" s="54">
        <f t="shared" si="2"/>
        <v>1318</v>
      </c>
      <c r="J69" s="55"/>
      <c r="K69" s="152"/>
      <c r="L69" s="152"/>
      <c r="M69" s="153"/>
      <c r="N69" s="153"/>
      <c r="O69" s="153"/>
      <c r="P69" s="154" t="s">
        <v>115</v>
      </c>
      <c r="Q69" s="116" t="s">
        <v>999</v>
      </c>
      <c r="R69" s="155"/>
    </row>
    <row r="70" ht="12.75" customHeight="1">
      <c r="A70" s="146">
        <v>1.0</v>
      </c>
      <c r="B70" s="147">
        <v>1200.0</v>
      </c>
      <c r="C70" s="148" t="s">
        <v>1001</v>
      </c>
      <c r="D70" s="149" t="s">
        <v>1003</v>
      </c>
      <c r="E70" s="147">
        <v>-554.0</v>
      </c>
      <c r="F70" s="92">
        <v>-592.0</v>
      </c>
      <c r="G70" s="150"/>
      <c r="H70" s="54">
        <f t="shared" si="1"/>
        <v>470</v>
      </c>
      <c r="I70" s="54">
        <f t="shared" si="2"/>
        <v>1616</v>
      </c>
      <c r="J70" s="55"/>
      <c r="K70" s="152"/>
      <c r="L70" s="152"/>
      <c r="M70" s="153"/>
      <c r="N70" s="153"/>
      <c r="O70" s="153"/>
      <c r="P70" s="154" t="s">
        <v>115</v>
      </c>
      <c r="Q70" s="116" t="s">
        <v>1009</v>
      </c>
      <c r="R70" s="155"/>
    </row>
    <row r="71" ht="12.75" customHeight="1">
      <c r="A71" s="146">
        <v>1.0</v>
      </c>
      <c r="B71" s="147">
        <v>1217.0</v>
      </c>
      <c r="C71" s="148" t="s">
        <v>543</v>
      </c>
      <c r="D71" s="149" t="s">
        <v>158</v>
      </c>
      <c r="E71" s="147">
        <v>-92.0</v>
      </c>
      <c r="F71" s="147">
        <v>697.0</v>
      </c>
      <c r="G71" s="150"/>
      <c r="H71" s="54">
        <f t="shared" si="1"/>
        <v>932</v>
      </c>
      <c r="I71" s="54">
        <f t="shared" si="2"/>
        <v>327</v>
      </c>
      <c r="J71" s="55"/>
      <c r="K71" s="152"/>
      <c r="L71" s="152"/>
      <c r="M71" s="153"/>
      <c r="N71" s="153"/>
      <c r="O71" s="153"/>
      <c r="P71" s="154" t="s">
        <v>115</v>
      </c>
      <c r="Q71" s="116" t="s">
        <v>1020</v>
      </c>
      <c r="R71" s="155"/>
    </row>
    <row r="72" ht="12.75" customHeight="1">
      <c r="A72" s="146">
        <v>1.0</v>
      </c>
      <c r="B72" s="147">
        <v>1095.0</v>
      </c>
      <c r="C72" s="148" t="s">
        <v>1021</v>
      </c>
      <c r="D72" s="149" t="s">
        <v>158</v>
      </c>
      <c r="E72" s="147">
        <v>-429.0</v>
      </c>
      <c r="F72" s="147">
        <v>-427.0</v>
      </c>
      <c r="G72" s="150"/>
      <c r="H72" s="54">
        <f t="shared" si="1"/>
        <v>595</v>
      </c>
      <c r="I72" s="54">
        <f t="shared" si="2"/>
        <v>1451</v>
      </c>
      <c r="J72" s="161" t="s">
        <v>1028</v>
      </c>
      <c r="K72" s="152"/>
      <c r="L72" s="152"/>
      <c r="M72" s="153"/>
      <c r="N72" s="153"/>
      <c r="O72" s="153"/>
      <c r="P72" s="154" t="s">
        <v>115</v>
      </c>
      <c r="Q72" s="116" t="s">
        <v>158</v>
      </c>
      <c r="R72" s="155"/>
    </row>
    <row r="73" ht="12.75" customHeight="1">
      <c r="A73" s="146">
        <v>1.0</v>
      </c>
      <c r="B73" s="147">
        <v>1106.0</v>
      </c>
      <c r="C73" s="148" t="s">
        <v>1036</v>
      </c>
      <c r="D73" s="149" t="s">
        <v>542</v>
      </c>
      <c r="E73" s="147">
        <v>548.0</v>
      </c>
      <c r="F73" s="147">
        <v>613.0</v>
      </c>
      <c r="G73" s="150"/>
      <c r="H73" s="54">
        <f t="shared" si="1"/>
        <v>1572</v>
      </c>
      <c r="I73" s="54">
        <f t="shared" si="2"/>
        <v>411</v>
      </c>
      <c r="J73" s="55"/>
      <c r="K73" s="152"/>
      <c r="L73" s="152"/>
      <c r="M73" s="153"/>
      <c r="N73" s="153"/>
      <c r="O73" s="153"/>
      <c r="P73" s="154" t="s">
        <v>115</v>
      </c>
      <c r="Q73" s="116" t="s">
        <v>1047</v>
      </c>
      <c r="R73" s="155"/>
    </row>
    <row r="74" ht="12.75" customHeight="1">
      <c r="A74" s="146">
        <v>1.0</v>
      </c>
      <c r="B74" s="147">
        <v>1297.0</v>
      </c>
      <c r="C74" s="148" t="s">
        <v>1051</v>
      </c>
      <c r="D74" s="149" t="s">
        <v>542</v>
      </c>
      <c r="E74" s="147">
        <v>134.0</v>
      </c>
      <c r="F74" s="147">
        <v>-601.0</v>
      </c>
      <c r="G74" s="150"/>
      <c r="H74" s="54">
        <f t="shared" si="1"/>
        <v>1158</v>
      </c>
      <c r="I74" s="54">
        <f t="shared" si="2"/>
        <v>1625</v>
      </c>
      <c r="J74" s="55"/>
      <c r="K74" s="152"/>
      <c r="L74" s="152"/>
      <c r="M74" s="153"/>
      <c r="N74" s="153"/>
      <c r="O74" s="153"/>
      <c r="P74" s="154" t="s">
        <v>115</v>
      </c>
      <c r="Q74" s="116" t="s">
        <v>1063</v>
      </c>
      <c r="R74" s="155"/>
    </row>
    <row r="75" ht="12.75" customHeight="1">
      <c r="A75" s="146">
        <v>1.0</v>
      </c>
      <c r="B75" s="147">
        <v>1126.0</v>
      </c>
      <c r="C75" s="148" t="s">
        <v>561</v>
      </c>
      <c r="D75" s="149" t="s">
        <v>218</v>
      </c>
      <c r="E75" s="147">
        <v>-467.0</v>
      </c>
      <c r="F75" s="147">
        <v>41.0</v>
      </c>
      <c r="G75" s="150"/>
      <c r="H75" s="54">
        <f t="shared" si="1"/>
        <v>557</v>
      </c>
      <c r="I75" s="54">
        <f t="shared" si="2"/>
        <v>983</v>
      </c>
      <c r="J75" s="55"/>
      <c r="K75" s="152"/>
      <c r="L75" s="152"/>
      <c r="M75" s="153"/>
      <c r="N75" s="153"/>
      <c r="O75" s="153"/>
      <c r="P75" s="154" t="s">
        <v>115</v>
      </c>
      <c r="Q75" s="116" t="s">
        <v>1081</v>
      </c>
      <c r="R75" s="155"/>
    </row>
    <row r="76" ht="12.75" customHeight="1">
      <c r="A76" s="146">
        <v>1.0</v>
      </c>
      <c r="B76" s="147">
        <v>347.0</v>
      </c>
      <c r="C76" s="148" t="s">
        <v>1093</v>
      </c>
      <c r="D76" s="149" t="s">
        <v>218</v>
      </c>
      <c r="E76" s="147">
        <v>759.0</v>
      </c>
      <c r="F76" s="147">
        <v>-597.0</v>
      </c>
      <c r="G76" s="150"/>
      <c r="H76" s="54">
        <f t="shared" si="1"/>
        <v>1783</v>
      </c>
      <c r="I76" s="54">
        <f t="shared" si="2"/>
        <v>1621</v>
      </c>
      <c r="J76" s="55"/>
      <c r="K76" s="152"/>
      <c r="L76" s="152"/>
      <c r="M76" s="153"/>
      <c r="N76" s="153"/>
      <c r="O76" s="154" t="s">
        <v>1101</v>
      </c>
      <c r="P76" s="154" t="s">
        <v>115</v>
      </c>
      <c r="Q76" s="116" t="s">
        <v>1104</v>
      </c>
      <c r="R76" s="155"/>
    </row>
    <row r="77" ht="12.75" customHeight="1">
      <c r="A77" s="146">
        <v>1.0</v>
      </c>
      <c r="B77" s="147">
        <v>299.0</v>
      </c>
      <c r="C77" s="148" t="s">
        <v>1109</v>
      </c>
      <c r="D77" s="149" t="s">
        <v>218</v>
      </c>
      <c r="E77" s="147">
        <v>756.0</v>
      </c>
      <c r="F77" s="147">
        <v>-587.0</v>
      </c>
      <c r="G77" s="150"/>
      <c r="H77" s="54">
        <f t="shared" si="1"/>
        <v>1780</v>
      </c>
      <c r="I77" s="54">
        <f t="shared" si="2"/>
        <v>1611</v>
      </c>
      <c r="J77" s="55"/>
      <c r="K77" s="152"/>
      <c r="L77" s="152"/>
      <c r="M77" s="153"/>
      <c r="N77" s="153"/>
      <c r="O77" s="153"/>
      <c r="P77" s="154" t="s">
        <v>115</v>
      </c>
      <c r="Q77" s="116" t="s">
        <v>1119</v>
      </c>
      <c r="R77" s="155"/>
    </row>
    <row r="78" ht="12.75" customHeight="1">
      <c r="A78" s="146">
        <v>1.0</v>
      </c>
      <c r="B78" s="147">
        <v>261.0</v>
      </c>
      <c r="C78" s="148" t="s">
        <v>1122</v>
      </c>
      <c r="D78" s="149" t="s">
        <v>535</v>
      </c>
      <c r="E78" s="147">
        <v>768.0</v>
      </c>
      <c r="F78" s="147">
        <v>-584.0</v>
      </c>
      <c r="G78" s="150"/>
      <c r="H78" s="54">
        <f t="shared" si="1"/>
        <v>1792</v>
      </c>
      <c r="I78" s="54">
        <f t="shared" si="2"/>
        <v>1608</v>
      </c>
      <c r="J78" s="55"/>
      <c r="K78" s="152"/>
      <c r="L78" s="152"/>
      <c r="M78" s="153"/>
      <c r="N78" s="153"/>
      <c r="O78" s="153"/>
      <c r="P78" s="154" t="s">
        <v>115</v>
      </c>
      <c r="Q78" s="116" t="s">
        <v>1132</v>
      </c>
      <c r="R78" s="155"/>
    </row>
    <row r="79" ht="12.75" customHeight="1">
      <c r="A79" s="146">
        <v>1.0</v>
      </c>
      <c r="B79" s="147">
        <v>293.0</v>
      </c>
      <c r="C79" s="148" t="s">
        <v>1136</v>
      </c>
      <c r="D79" s="149" t="s">
        <v>568</v>
      </c>
      <c r="E79" s="147">
        <v>768.0</v>
      </c>
      <c r="F79" s="147">
        <v>-601.0</v>
      </c>
      <c r="G79" s="150"/>
      <c r="H79" s="54">
        <f t="shared" si="1"/>
        <v>1792</v>
      </c>
      <c r="I79" s="54">
        <f t="shared" si="2"/>
        <v>1625</v>
      </c>
      <c r="J79" s="55"/>
      <c r="K79" s="152"/>
      <c r="L79" s="152"/>
      <c r="M79" s="153"/>
      <c r="N79" s="153"/>
      <c r="O79" s="153"/>
      <c r="P79" s="154" t="s">
        <v>115</v>
      </c>
      <c r="Q79" s="116" t="s">
        <v>1146</v>
      </c>
      <c r="R79" s="155"/>
    </row>
    <row r="80" ht="12.75" customHeight="1">
      <c r="A80" s="146">
        <v>1.0</v>
      </c>
      <c r="B80" s="147">
        <v>1214.0</v>
      </c>
      <c r="C80" s="148" t="s">
        <v>1149</v>
      </c>
      <c r="D80" s="149" t="s">
        <v>158</v>
      </c>
      <c r="E80" s="147">
        <v>368.0</v>
      </c>
      <c r="F80" s="147">
        <v>-289.0</v>
      </c>
      <c r="G80" s="150"/>
      <c r="H80" s="54">
        <f t="shared" si="1"/>
        <v>1392</v>
      </c>
      <c r="I80" s="54">
        <f t="shared" si="2"/>
        <v>1313</v>
      </c>
      <c r="J80" s="55"/>
      <c r="K80" s="152"/>
      <c r="L80" s="152"/>
      <c r="M80" s="153"/>
      <c r="N80" s="153"/>
      <c r="O80" s="153"/>
      <c r="P80" s="154" t="s">
        <v>115</v>
      </c>
      <c r="Q80" s="116" t="s">
        <v>1160</v>
      </c>
      <c r="R80" s="155"/>
    </row>
    <row r="81" ht="12.75" customHeight="1">
      <c r="A81" s="146">
        <v>1.0</v>
      </c>
      <c r="B81" s="147">
        <v>1043.0</v>
      </c>
      <c r="C81" s="148" t="s">
        <v>1163</v>
      </c>
      <c r="D81" s="149" t="s">
        <v>1165</v>
      </c>
      <c r="E81" s="147">
        <v>-308.0</v>
      </c>
      <c r="F81" s="147">
        <v>-38.0</v>
      </c>
      <c r="G81" s="150"/>
      <c r="H81" s="54">
        <f t="shared" si="1"/>
        <v>716</v>
      </c>
      <c r="I81" s="54">
        <f t="shared" si="2"/>
        <v>1062</v>
      </c>
      <c r="J81" s="55"/>
      <c r="K81" s="152"/>
      <c r="L81" s="152"/>
      <c r="M81" s="153"/>
      <c r="N81" s="153"/>
      <c r="O81" s="153"/>
      <c r="P81" s="154" t="s">
        <v>115</v>
      </c>
      <c r="Q81" s="116" t="s">
        <v>1176</v>
      </c>
      <c r="R81" s="155"/>
    </row>
    <row r="82" ht="12.75" customHeight="1">
      <c r="A82" s="146">
        <v>1.0</v>
      </c>
      <c r="B82" s="147">
        <v>1107.0</v>
      </c>
      <c r="C82" s="148" t="s">
        <v>1178</v>
      </c>
      <c r="D82" s="149" t="s">
        <v>923</v>
      </c>
      <c r="E82" s="147">
        <v>-790.0</v>
      </c>
      <c r="F82" s="147">
        <v>-67.0</v>
      </c>
      <c r="G82" s="150"/>
      <c r="H82" s="54">
        <f t="shared" si="1"/>
        <v>234</v>
      </c>
      <c r="I82" s="54">
        <f t="shared" si="2"/>
        <v>1091</v>
      </c>
      <c r="J82" s="55"/>
      <c r="K82" s="152"/>
      <c r="L82" s="152"/>
      <c r="M82" s="153"/>
      <c r="N82" s="153"/>
      <c r="O82" s="153"/>
      <c r="P82" s="154" t="s">
        <v>115</v>
      </c>
      <c r="Q82" s="116" t="s">
        <v>1187</v>
      </c>
      <c r="R82" s="155"/>
    </row>
    <row r="83" ht="12.75" customHeight="1">
      <c r="A83" s="146">
        <v>1.0</v>
      </c>
      <c r="B83" s="147">
        <v>1068.0</v>
      </c>
      <c r="C83" s="148" t="s">
        <v>1191</v>
      </c>
      <c r="D83" s="149" t="s">
        <v>158</v>
      </c>
      <c r="E83" s="147">
        <v>-833.0</v>
      </c>
      <c r="F83" s="147">
        <v>467.0</v>
      </c>
      <c r="G83" s="150"/>
      <c r="H83" s="54">
        <f t="shared" si="1"/>
        <v>191</v>
      </c>
      <c r="I83" s="54">
        <f t="shared" si="2"/>
        <v>557</v>
      </c>
      <c r="J83" s="55"/>
      <c r="K83" s="152"/>
      <c r="L83" s="152"/>
      <c r="M83" s="153"/>
      <c r="N83" s="153"/>
      <c r="O83" s="153"/>
      <c r="P83" s="154" t="s">
        <v>115</v>
      </c>
      <c r="Q83" s="116" t="s">
        <v>1202</v>
      </c>
      <c r="R83" s="155"/>
    </row>
    <row r="84" ht="12.75" customHeight="1">
      <c r="A84" s="146">
        <v>1.0</v>
      </c>
      <c r="B84" s="147">
        <v>1054.0</v>
      </c>
      <c r="C84" s="148" t="s">
        <v>1206</v>
      </c>
      <c r="D84" s="149" t="s">
        <v>190</v>
      </c>
      <c r="E84" s="147">
        <v>-438.0</v>
      </c>
      <c r="F84" s="147">
        <v>239.0</v>
      </c>
      <c r="G84" s="150"/>
      <c r="H84" s="54">
        <f t="shared" si="1"/>
        <v>586</v>
      </c>
      <c r="I84" s="54">
        <f t="shared" si="2"/>
        <v>785</v>
      </c>
      <c r="J84" s="55"/>
      <c r="K84" s="152"/>
      <c r="L84" s="152"/>
      <c r="M84" s="153"/>
      <c r="N84" s="153"/>
      <c r="O84" s="153"/>
      <c r="P84" s="154" t="s">
        <v>115</v>
      </c>
      <c r="Q84" s="116" t="s">
        <v>1215</v>
      </c>
      <c r="R84" s="155"/>
    </row>
    <row r="85" ht="12.75" customHeight="1">
      <c r="A85" s="146">
        <v>1.0</v>
      </c>
      <c r="B85" s="147">
        <v>1015.0</v>
      </c>
      <c r="C85" s="148" t="s">
        <v>1217</v>
      </c>
      <c r="D85" s="149" t="s">
        <v>33</v>
      </c>
      <c r="E85" s="147">
        <v>606.0</v>
      </c>
      <c r="F85" s="147">
        <v>-709.0</v>
      </c>
      <c r="G85" s="150"/>
      <c r="H85" s="54">
        <f t="shared" si="1"/>
        <v>1630</v>
      </c>
      <c r="I85" s="54">
        <f t="shared" si="2"/>
        <v>1733</v>
      </c>
      <c r="J85" s="55"/>
      <c r="K85" s="152"/>
      <c r="L85" s="152"/>
      <c r="M85" s="153"/>
      <c r="N85" s="153"/>
      <c r="O85" s="153"/>
      <c r="P85" s="154" t="s">
        <v>115</v>
      </c>
      <c r="Q85" s="116" t="s">
        <v>1229</v>
      </c>
      <c r="R85" s="155"/>
    </row>
    <row r="86" ht="12.75" customHeight="1">
      <c r="A86" s="146">
        <v>1.0</v>
      </c>
      <c r="B86" s="147">
        <v>1800.0</v>
      </c>
      <c r="C86" s="148" t="s">
        <v>1231</v>
      </c>
      <c r="D86" s="149" t="s">
        <v>542</v>
      </c>
      <c r="E86" s="147">
        <v>26.0</v>
      </c>
      <c r="F86" s="147">
        <v>-551.0</v>
      </c>
      <c r="G86" s="150"/>
      <c r="H86" s="54">
        <f t="shared" si="1"/>
        <v>1050</v>
      </c>
      <c r="I86" s="54">
        <f t="shared" si="2"/>
        <v>1575</v>
      </c>
      <c r="J86" s="55"/>
      <c r="K86" s="152"/>
      <c r="L86" s="152"/>
      <c r="M86" s="153"/>
      <c r="N86" s="153"/>
      <c r="O86" s="153"/>
      <c r="P86" s="154" t="s">
        <v>115</v>
      </c>
      <c r="Q86" s="116" t="s">
        <v>1242</v>
      </c>
      <c r="R86" s="155"/>
    </row>
    <row r="87" ht="12.75" customHeight="1">
      <c r="A87" s="146">
        <v>1.0</v>
      </c>
      <c r="B87" s="147">
        <v>1408.0</v>
      </c>
      <c r="C87" s="148" t="s">
        <v>1244</v>
      </c>
      <c r="D87" s="149" t="s">
        <v>1245</v>
      </c>
      <c r="E87" s="147">
        <v>342.0</v>
      </c>
      <c r="F87" s="147">
        <v>-198.0</v>
      </c>
      <c r="G87" s="150"/>
      <c r="H87" s="54">
        <f t="shared" si="1"/>
        <v>1366</v>
      </c>
      <c r="I87" s="54">
        <f t="shared" si="2"/>
        <v>1222</v>
      </c>
      <c r="J87" s="55"/>
      <c r="K87" s="152"/>
      <c r="L87" s="152"/>
      <c r="M87" s="153"/>
      <c r="N87" s="153"/>
      <c r="O87" s="153"/>
      <c r="P87" s="154" t="s">
        <v>115</v>
      </c>
      <c r="Q87" s="116" t="s">
        <v>1250</v>
      </c>
      <c r="R87" s="155"/>
    </row>
    <row r="88" ht="12.75" customHeight="1">
      <c r="A88" s="146">
        <v>1.0</v>
      </c>
      <c r="B88" s="147">
        <v>1292.0</v>
      </c>
      <c r="C88" s="148" t="s">
        <v>1253</v>
      </c>
      <c r="D88" s="149" t="s">
        <v>1255</v>
      </c>
      <c r="E88" s="147">
        <v>-522.0</v>
      </c>
      <c r="F88" s="147">
        <v>440.0</v>
      </c>
      <c r="G88" s="150"/>
      <c r="H88" s="54">
        <f t="shared" si="1"/>
        <v>502</v>
      </c>
      <c r="I88" s="54">
        <f t="shared" si="2"/>
        <v>584</v>
      </c>
      <c r="J88" s="55"/>
      <c r="K88" s="152"/>
      <c r="L88" s="152"/>
      <c r="M88" s="153"/>
      <c r="N88" s="153"/>
      <c r="O88" s="153"/>
      <c r="P88" s="154" t="s">
        <v>115</v>
      </c>
      <c r="Q88" s="116" t="s">
        <v>1256</v>
      </c>
      <c r="R88" s="155"/>
    </row>
    <row r="89" ht="12.75" customHeight="1">
      <c r="A89" s="146">
        <v>1.0</v>
      </c>
      <c r="B89" s="147">
        <v>1418.0</v>
      </c>
      <c r="C89" s="148" t="s">
        <v>1258</v>
      </c>
      <c r="D89" s="149" t="s">
        <v>1260</v>
      </c>
      <c r="E89" s="147">
        <v>625.0</v>
      </c>
      <c r="F89" s="147">
        <v>-653.0</v>
      </c>
      <c r="G89" s="150"/>
      <c r="H89" s="54">
        <f t="shared" si="1"/>
        <v>1649</v>
      </c>
      <c r="I89" s="54">
        <f t="shared" si="2"/>
        <v>1677</v>
      </c>
      <c r="J89" s="55"/>
      <c r="K89" s="152"/>
      <c r="L89" s="152"/>
      <c r="M89" s="153"/>
      <c r="N89" s="153"/>
      <c r="O89" s="153"/>
      <c r="P89" s="154" t="s">
        <v>115</v>
      </c>
      <c r="Q89" s="116" t="s">
        <v>1263</v>
      </c>
      <c r="R89" s="155"/>
    </row>
    <row r="90" ht="12.75" customHeight="1">
      <c r="A90" s="146">
        <v>1.0</v>
      </c>
      <c r="B90" s="147">
        <v>1384.0</v>
      </c>
      <c r="C90" s="148" t="s">
        <v>1264</v>
      </c>
      <c r="D90" s="149" t="s">
        <v>542</v>
      </c>
      <c r="E90" s="147">
        <v>786.0</v>
      </c>
      <c r="F90" s="147">
        <v>-377.0</v>
      </c>
      <c r="G90" s="150"/>
      <c r="H90" s="54">
        <f t="shared" si="1"/>
        <v>1810</v>
      </c>
      <c r="I90" s="54">
        <f t="shared" si="2"/>
        <v>1401</v>
      </c>
      <c r="J90" s="55"/>
      <c r="K90" s="152"/>
      <c r="L90" s="152"/>
      <c r="M90" s="153"/>
      <c r="N90" s="153"/>
      <c r="O90" s="153"/>
      <c r="P90" s="154" t="s">
        <v>115</v>
      </c>
      <c r="Q90" s="116" t="s">
        <v>1269</v>
      </c>
      <c r="R90" s="155"/>
    </row>
    <row r="91" ht="12.75" customHeight="1">
      <c r="A91" s="146">
        <v>1.0</v>
      </c>
      <c r="B91" s="147">
        <v>1402.0</v>
      </c>
      <c r="C91" s="148" t="s">
        <v>1270</v>
      </c>
      <c r="D91" s="149" t="s">
        <v>1271</v>
      </c>
      <c r="E91" s="147">
        <v>-331.0</v>
      </c>
      <c r="F91" s="147">
        <v>-321.0</v>
      </c>
      <c r="G91" s="150"/>
      <c r="H91" s="54">
        <f t="shared" si="1"/>
        <v>693</v>
      </c>
      <c r="I91" s="54">
        <f t="shared" si="2"/>
        <v>1345</v>
      </c>
      <c r="J91" s="55"/>
      <c r="K91" s="152"/>
      <c r="L91" s="152"/>
      <c r="M91" s="153"/>
      <c r="N91" s="153"/>
      <c r="O91" s="153"/>
      <c r="P91" s="154" t="s">
        <v>115</v>
      </c>
      <c r="Q91" s="116" t="s">
        <v>1275</v>
      </c>
      <c r="R91" s="155"/>
    </row>
    <row r="92" ht="12.75" customHeight="1">
      <c r="A92" s="146">
        <v>1.0</v>
      </c>
      <c r="B92" s="147">
        <v>1159.0</v>
      </c>
      <c r="C92" s="148" t="s">
        <v>1278</v>
      </c>
      <c r="D92" s="149" t="s">
        <v>1279</v>
      </c>
      <c r="E92" s="147">
        <v>-269.0</v>
      </c>
      <c r="F92" s="147">
        <v>-86.0</v>
      </c>
      <c r="G92" s="150"/>
      <c r="H92" s="54">
        <f t="shared" si="1"/>
        <v>755</v>
      </c>
      <c r="I92" s="54">
        <f t="shared" si="2"/>
        <v>1110</v>
      </c>
      <c r="J92" s="55"/>
      <c r="K92" s="152"/>
      <c r="L92" s="152"/>
      <c r="M92" s="153"/>
      <c r="N92" s="153"/>
      <c r="O92" s="153"/>
      <c r="P92" s="154" t="s">
        <v>115</v>
      </c>
      <c r="Q92" s="116" t="s">
        <v>1284</v>
      </c>
      <c r="R92" s="155"/>
    </row>
    <row r="93" ht="12.75" customHeight="1">
      <c r="A93" s="146">
        <v>1.0</v>
      </c>
      <c r="B93" s="147">
        <v>1189.0</v>
      </c>
      <c r="C93" s="148" t="s">
        <v>1287</v>
      </c>
      <c r="D93" s="149" t="s">
        <v>1288</v>
      </c>
      <c r="E93" s="147">
        <v>-203.0</v>
      </c>
      <c r="F93" s="147">
        <v>-440.0</v>
      </c>
      <c r="G93" s="150"/>
      <c r="H93" s="54">
        <f t="shared" si="1"/>
        <v>821</v>
      </c>
      <c r="I93" s="54">
        <f t="shared" si="2"/>
        <v>1464</v>
      </c>
      <c r="J93" s="55"/>
      <c r="K93" s="152"/>
      <c r="L93" s="152"/>
      <c r="M93" s="153"/>
      <c r="N93" s="153"/>
      <c r="O93" s="153"/>
      <c r="P93" s="154" t="s">
        <v>115</v>
      </c>
      <c r="Q93" s="162" t="s">
        <v>1294</v>
      </c>
      <c r="R93" s="155"/>
    </row>
    <row r="94" ht="12.75" customHeight="1">
      <c r="A94" s="146">
        <v>1.0</v>
      </c>
      <c r="B94" s="147">
        <v>1370.0</v>
      </c>
      <c r="C94" s="148" t="s">
        <v>1298</v>
      </c>
      <c r="D94" s="149" t="s">
        <v>1299</v>
      </c>
      <c r="E94" s="147">
        <v>-409.0</v>
      </c>
      <c r="F94" s="147">
        <v>-83.0</v>
      </c>
      <c r="G94" s="150"/>
      <c r="H94" s="54">
        <f t="shared" si="1"/>
        <v>615</v>
      </c>
      <c r="I94" s="54">
        <f t="shared" si="2"/>
        <v>1107</v>
      </c>
      <c r="J94" s="55"/>
      <c r="K94" s="152"/>
      <c r="L94" s="152"/>
      <c r="M94" s="153"/>
      <c r="N94" s="153"/>
      <c r="O94" s="153"/>
      <c r="P94" s="154" t="s">
        <v>115</v>
      </c>
      <c r="Q94" s="116" t="s">
        <v>1304</v>
      </c>
      <c r="R94" s="155"/>
    </row>
    <row r="95" ht="12.75" customHeight="1">
      <c r="A95" s="146">
        <v>1.0</v>
      </c>
      <c r="B95" s="147">
        <v>1183.0</v>
      </c>
      <c r="C95" s="148" t="s">
        <v>1306</v>
      </c>
      <c r="D95" s="149" t="s">
        <v>1307</v>
      </c>
      <c r="E95" s="147">
        <v>-432.0</v>
      </c>
      <c r="F95" s="147">
        <v>-136.0</v>
      </c>
      <c r="G95" s="150"/>
      <c r="H95" s="54">
        <f t="shared" si="1"/>
        <v>592</v>
      </c>
      <c r="I95" s="54">
        <f t="shared" si="2"/>
        <v>1160</v>
      </c>
      <c r="J95" s="55"/>
      <c r="K95" s="152"/>
      <c r="L95" s="152"/>
      <c r="M95" s="153"/>
      <c r="N95" s="153"/>
      <c r="O95" s="153"/>
      <c r="P95" s="154" t="s">
        <v>115</v>
      </c>
      <c r="Q95" s="116" t="s">
        <v>1312</v>
      </c>
      <c r="R95" s="155"/>
    </row>
    <row r="96" ht="12.75" customHeight="1">
      <c r="A96" s="146">
        <v>1.0</v>
      </c>
      <c r="B96" s="147">
        <v>1201.0</v>
      </c>
      <c r="C96" s="148" t="s">
        <v>1315</v>
      </c>
      <c r="D96" s="149" t="s">
        <v>1316</v>
      </c>
      <c r="E96" s="147">
        <v>-163.0</v>
      </c>
      <c r="F96" s="147">
        <v>-505.0</v>
      </c>
      <c r="G96" s="150"/>
      <c r="H96" s="54">
        <f t="shared" si="1"/>
        <v>861</v>
      </c>
      <c r="I96" s="54">
        <f t="shared" si="2"/>
        <v>1529</v>
      </c>
      <c r="J96" s="55"/>
      <c r="K96" s="152"/>
      <c r="L96" s="152"/>
      <c r="M96" s="153"/>
      <c r="N96" s="153"/>
      <c r="O96" s="153"/>
      <c r="P96" s="154" t="s">
        <v>115</v>
      </c>
      <c r="Q96" s="116" t="s">
        <v>1319</v>
      </c>
      <c r="R96" s="155"/>
    </row>
    <row r="97" ht="12.75" customHeight="1">
      <c r="A97" s="146">
        <v>1.0</v>
      </c>
      <c r="B97" s="147">
        <v>1044.0</v>
      </c>
      <c r="C97" s="148" t="s">
        <v>1322</v>
      </c>
      <c r="D97" s="149" t="s">
        <v>1324</v>
      </c>
      <c r="E97" s="147">
        <v>-129.0</v>
      </c>
      <c r="F97" s="147">
        <v>-557.0</v>
      </c>
      <c r="G97" s="150"/>
      <c r="H97" s="54">
        <f t="shared" si="1"/>
        <v>895</v>
      </c>
      <c r="I97" s="54">
        <f t="shared" si="2"/>
        <v>1581</v>
      </c>
      <c r="J97" s="55"/>
      <c r="K97" s="152"/>
      <c r="L97" s="152"/>
      <c r="M97" s="153"/>
      <c r="N97" s="153"/>
      <c r="O97" s="153"/>
      <c r="P97" s="154" t="s">
        <v>115</v>
      </c>
      <c r="Q97" s="116" t="s">
        <v>1325</v>
      </c>
      <c r="R97" s="155"/>
    </row>
    <row r="98" ht="12.75" customHeight="1">
      <c r="A98" s="146">
        <v>1.0</v>
      </c>
      <c r="B98" s="147">
        <v>1327.0</v>
      </c>
      <c r="C98" s="148" t="s">
        <v>1326</v>
      </c>
      <c r="D98" s="149" t="s">
        <v>1260</v>
      </c>
      <c r="E98" s="147">
        <v>-111.0</v>
      </c>
      <c r="F98" s="147">
        <v>776.0</v>
      </c>
      <c r="G98" s="150"/>
      <c r="H98" s="54">
        <f t="shared" si="1"/>
        <v>913</v>
      </c>
      <c r="I98" s="54">
        <f t="shared" si="2"/>
        <v>248</v>
      </c>
      <c r="J98" s="55"/>
      <c r="K98" s="152"/>
      <c r="L98" s="152"/>
      <c r="M98" s="153"/>
      <c r="N98" s="153"/>
      <c r="O98" s="153"/>
      <c r="P98" s="154" t="s">
        <v>115</v>
      </c>
      <c r="Q98" s="116" t="s">
        <v>1327</v>
      </c>
      <c r="R98" s="155"/>
    </row>
    <row r="99" ht="12.75" customHeight="1">
      <c r="A99" s="146">
        <v>1.0</v>
      </c>
      <c r="B99" s="147">
        <v>1110.0</v>
      </c>
      <c r="C99" s="148" t="s">
        <v>1328</v>
      </c>
      <c r="D99" s="149" t="s">
        <v>610</v>
      </c>
      <c r="E99" s="147">
        <v>174.0</v>
      </c>
      <c r="F99" s="147">
        <v>414.0</v>
      </c>
      <c r="G99" s="150"/>
      <c r="H99" s="54">
        <f t="shared" si="1"/>
        <v>1198</v>
      </c>
      <c r="I99" s="54">
        <f t="shared" si="2"/>
        <v>610</v>
      </c>
      <c r="J99" s="55"/>
      <c r="K99" s="152"/>
      <c r="L99" s="152"/>
      <c r="M99" s="153"/>
      <c r="N99" s="153"/>
      <c r="O99" s="153"/>
      <c r="P99" s="154" t="s">
        <v>115</v>
      </c>
      <c r="Q99" s="162" t="s">
        <v>1331</v>
      </c>
      <c r="R99" s="155"/>
    </row>
    <row r="100" ht="12.75" customHeight="1">
      <c r="A100" s="146">
        <v>1.0</v>
      </c>
      <c r="B100" s="147">
        <v>5531.0</v>
      </c>
      <c r="C100" s="148" t="s">
        <v>1334</v>
      </c>
      <c r="D100" s="149" t="s">
        <v>610</v>
      </c>
      <c r="E100" s="147">
        <v>-886.0</v>
      </c>
      <c r="F100" s="147">
        <v>65.0</v>
      </c>
      <c r="G100" s="150"/>
      <c r="H100" s="54">
        <f t="shared" si="1"/>
        <v>138</v>
      </c>
      <c r="I100" s="54">
        <f t="shared" si="2"/>
        <v>959</v>
      </c>
      <c r="J100" s="55"/>
      <c r="K100" s="152"/>
      <c r="L100" s="152"/>
      <c r="M100" s="153"/>
      <c r="N100" s="153"/>
      <c r="O100" s="153"/>
      <c r="P100" s="153"/>
      <c r="Q100" s="116" t="s">
        <v>1342</v>
      </c>
      <c r="R100" s="155"/>
    </row>
    <row r="101" ht="12.75" customHeight="1">
      <c r="A101" s="146"/>
      <c r="B101" s="147"/>
      <c r="C101" s="148"/>
      <c r="D101" s="157"/>
      <c r="E101" s="147"/>
      <c r="F101" s="147"/>
      <c r="G101" s="150"/>
      <c r="H101" s="54"/>
      <c r="I101" s="54"/>
      <c r="J101" s="55"/>
      <c r="K101" s="152"/>
      <c r="L101" s="152"/>
      <c r="M101" s="153"/>
      <c r="N101" s="153"/>
      <c r="O101" s="153"/>
      <c r="P101" s="153"/>
      <c r="Q101" s="116"/>
      <c r="R101" s="155"/>
    </row>
    <row r="102" ht="12.75" customHeight="1">
      <c r="A102" s="146" t="s">
        <v>115</v>
      </c>
      <c r="B102" s="147" t="s">
        <v>245</v>
      </c>
      <c r="C102" s="148" t="s">
        <v>1348</v>
      </c>
      <c r="D102" s="157"/>
      <c r="E102" s="147"/>
      <c r="F102" s="147"/>
      <c r="G102" s="150"/>
      <c r="H102" s="54">
        <f t="shared" ref="H102:H103" si="3">1024+E102</f>
        <v>1024</v>
      </c>
      <c r="I102" s="54">
        <f t="shared" ref="I102:I103" si="4">1024-F102</f>
        <v>1024</v>
      </c>
      <c r="J102" s="55"/>
      <c r="K102" s="152"/>
      <c r="L102" s="152"/>
      <c r="M102" s="153"/>
      <c r="N102" s="153"/>
      <c r="O102" s="153"/>
      <c r="P102" s="153"/>
      <c r="Q102" s="116"/>
      <c r="R102" s="155"/>
    </row>
    <row r="103" ht="12.75" customHeight="1">
      <c r="A103" s="50" t="s">
        <v>490</v>
      </c>
      <c r="B103" s="61" t="s">
        <v>490</v>
      </c>
      <c r="C103" s="50" t="s">
        <v>490</v>
      </c>
      <c r="D103" s="61" t="s">
        <v>490</v>
      </c>
      <c r="E103" s="49">
        <v>0.0</v>
      </c>
      <c r="F103" s="49">
        <v>0.0</v>
      </c>
      <c r="G103" s="52"/>
      <c r="H103" s="54">
        <f t="shared" si="3"/>
        <v>1024</v>
      </c>
      <c r="I103" s="54">
        <f t="shared" si="4"/>
        <v>1024</v>
      </c>
      <c r="J103" s="55"/>
      <c r="K103" s="56" t="s">
        <v>490</v>
      </c>
      <c r="L103" s="56" t="s">
        <v>490</v>
      </c>
      <c r="M103" s="56" t="s">
        <v>490</v>
      </c>
      <c r="N103" s="56" t="s">
        <v>490</v>
      </c>
      <c r="O103" s="56" t="s">
        <v>490</v>
      </c>
      <c r="P103" s="56" t="s">
        <v>490</v>
      </c>
      <c r="Q103" s="163" t="s">
        <v>490</v>
      </c>
      <c r="R103" s="164"/>
    </row>
    <row r="104" ht="12.75" customHeight="1">
      <c r="A104" s="165"/>
      <c r="B104" s="166"/>
      <c r="C104" s="167" t="s">
        <v>1371</v>
      </c>
      <c r="D104" s="168"/>
      <c r="E104" s="169">
        <f>H104-1024</f>
        <v>-884</v>
      </c>
      <c r="F104" s="169">
        <f>1024-I104</f>
        <v>57</v>
      </c>
      <c r="G104" s="168"/>
      <c r="H104" s="172">
        <v>140.0</v>
      </c>
      <c r="I104" s="172">
        <v>967.0</v>
      </c>
      <c r="J104" s="165"/>
      <c r="K104" s="168"/>
      <c r="L104" s="168"/>
      <c r="M104" s="168"/>
      <c r="N104" s="168"/>
      <c r="O104" s="168"/>
      <c r="P104" s="168"/>
      <c r="Q104" s="165"/>
      <c r="R104" s="35"/>
    </row>
    <row r="105" ht="12.75" customHeight="1">
      <c r="A105" s="167"/>
      <c r="B105" s="166"/>
      <c r="C105" s="167" t="s">
        <v>1383</v>
      </c>
      <c r="D105" s="168"/>
      <c r="E105" s="172">
        <v>-409.0</v>
      </c>
      <c r="F105" s="172">
        <v>-83.0</v>
      </c>
      <c r="G105" s="168"/>
      <c r="H105" s="175">
        <f>1024+E105</f>
        <v>615</v>
      </c>
      <c r="I105" s="175">
        <f>1024-F105</f>
        <v>1107</v>
      </c>
      <c r="J105" s="176" t="s">
        <v>1389</v>
      </c>
      <c r="K105" s="168"/>
      <c r="L105" s="168"/>
      <c r="M105" s="168"/>
      <c r="N105" s="168"/>
      <c r="O105" s="168"/>
      <c r="P105" s="168"/>
      <c r="Q105" s="165"/>
      <c r="R105" s="35"/>
    </row>
    <row r="106" ht="12.75" customHeight="1">
      <c r="A106" s="177">
        <f>sum(A3:A103)</f>
        <v>98</v>
      </c>
      <c r="B106" s="178"/>
      <c r="C106" s="179" t="s">
        <v>1400</v>
      </c>
      <c r="D106" s="180"/>
      <c r="E106" s="180"/>
      <c r="F106" s="180"/>
      <c r="G106" s="181"/>
      <c r="H106" s="182"/>
      <c r="I106" s="182"/>
      <c r="J106" s="183">
        <f>A106+SubLinks!A40</f>
        <v>171</v>
      </c>
      <c r="K106" s="184" t="s">
        <v>1419</v>
      </c>
      <c r="L106" s="185"/>
      <c r="M106" s="185"/>
      <c r="N106" s="185"/>
      <c r="O106" s="185"/>
      <c r="P106" s="185"/>
      <c r="Q106" s="186"/>
      <c r="R106" s="187"/>
    </row>
    <row r="107" ht="12.75" customHeight="1">
      <c r="A107" s="188"/>
      <c r="B107" s="189"/>
      <c r="C107" s="188"/>
      <c r="D107" s="190"/>
      <c r="E107" s="190"/>
      <c r="F107" s="190"/>
      <c r="G107" s="191"/>
      <c r="H107" s="192"/>
      <c r="I107" s="192"/>
      <c r="J107" s="194"/>
      <c r="K107" s="190"/>
      <c r="L107" s="190"/>
      <c r="M107" s="190"/>
      <c r="N107" s="190"/>
      <c r="O107" s="190"/>
      <c r="P107" s="190"/>
      <c r="Q107" s="196"/>
      <c r="R107" s="197"/>
    </row>
    <row r="108" ht="12.75" customHeight="1">
      <c r="A108" s="188"/>
      <c r="B108" s="198"/>
      <c r="C108" s="199" t="s">
        <v>1443</v>
      </c>
      <c r="D108" s="190"/>
      <c r="E108" s="190"/>
      <c r="F108" s="190"/>
      <c r="G108" s="191"/>
      <c r="H108" s="192"/>
      <c r="I108" s="192"/>
      <c r="J108" s="194"/>
      <c r="K108" s="190"/>
      <c r="L108" s="190"/>
      <c r="M108" s="190"/>
      <c r="N108" s="190"/>
      <c r="O108" s="190"/>
      <c r="P108" s="200" t="s">
        <v>1448</v>
      </c>
      <c r="Q108" s="201" t="s">
        <v>1449</v>
      </c>
      <c r="R108" s="202"/>
    </row>
    <row r="109" ht="12.75" customHeight="1">
      <c r="A109" s="196"/>
      <c r="B109" s="190"/>
      <c r="C109" s="196"/>
      <c r="D109" s="190"/>
      <c r="E109" s="190"/>
      <c r="F109" s="190"/>
      <c r="G109" s="191"/>
      <c r="H109" s="192"/>
      <c r="I109" s="192"/>
      <c r="J109" s="194"/>
      <c r="K109" s="190"/>
      <c r="L109" s="190"/>
      <c r="M109" s="190"/>
      <c r="N109" s="190"/>
      <c r="O109" s="190"/>
      <c r="P109" s="190"/>
      <c r="Q109" s="196"/>
      <c r="R109" s="197"/>
    </row>
    <row r="110" ht="12.75" customHeight="1">
      <c r="A110" s="206"/>
      <c r="B110" s="200"/>
      <c r="C110" s="206" t="s">
        <v>1476</v>
      </c>
      <c r="D110" s="190"/>
      <c r="E110" s="190"/>
      <c r="F110" s="190"/>
      <c r="G110" s="191"/>
      <c r="H110" s="192"/>
      <c r="I110" s="192"/>
      <c r="J110" s="194"/>
      <c r="K110" s="190"/>
      <c r="L110" s="190"/>
      <c r="M110" s="190"/>
      <c r="N110" s="190"/>
      <c r="O110" s="190"/>
      <c r="P110" s="190"/>
      <c r="Q110" s="196"/>
      <c r="R110" s="197"/>
    </row>
    <row r="111" ht="12.75" customHeight="1">
      <c r="A111" s="196"/>
      <c r="B111" s="190"/>
      <c r="C111" s="196"/>
      <c r="D111" s="190"/>
      <c r="E111" s="190"/>
      <c r="F111" s="190"/>
      <c r="G111" s="191"/>
      <c r="H111" s="192"/>
      <c r="I111" s="192"/>
      <c r="J111" s="194"/>
      <c r="K111" s="70"/>
      <c r="L111" s="70"/>
      <c r="M111" s="70"/>
      <c r="N111" s="70"/>
      <c r="O111" s="70"/>
      <c r="P111" s="70" t="s">
        <v>1478</v>
      </c>
      <c r="Q111" s="196"/>
      <c r="R111" s="197"/>
    </row>
    <row r="112" ht="12.75" customHeight="1">
      <c r="A112" s="196"/>
      <c r="B112" s="190"/>
      <c r="C112" s="196"/>
      <c r="D112" s="190"/>
      <c r="E112" s="190"/>
      <c r="F112" s="190"/>
      <c r="G112" s="191"/>
      <c r="H112" s="192"/>
      <c r="I112" s="192"/>
      <c r="J112" s="194"/>
      <c r="K112" s="70"/>
      <c r="L112" s="70"/>
      <c r="M112" s="70"/>
      <c r="N112" s="70"/>
      <c r="O112" s="70"/>
      <c r="P112" s="70" t="s">
        <v>1479</v>
      </c>
      <c r="Q112" s="196"/>
      <c r="R112" s="197"/>
    </row>
    <row r="113" ht="12.75" customHeight="1">
      <c r="A113" s="196"/>
      <c r="B113" s="190"/>
      <c r="C113" s="196"/>
      <c r="D113" s="190"/>
      <c r="E113" s="190"/>
      <c r="F113" s="190"/>
      <c r="G113" s="191"/>
      <c r="H113" s="192"/>
      <c r="I113" s="192"/>
      <c r="J113" s="194"/>
      <c r="K113" s="190"/>
      <c r="L113" s="190"/>
      <c r="M113" s="190"/>
      <c r="N113" s="190"/>
      <c r="O113" s="190"/>
      <c r="P113" s="190"/>
      <c r="Q113" s="196"/>
      <c r="R113" s="197"/>
    </row>
  </sheetData>
  <hyperlinks>
    <hyperlink r:id="rId4" ref="Q108"/>
  </hyperlinks>
  <drawing r:id="rId5"/>
  <legacy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5.5"/>
    <col customWidth="1" min="2" max="2" width="5.63"/>
    <col customWidth="1" min="3" max="3" width="30.75"/>
    <col customWidth="1" min="4" max="4" width="10.25"/>
    <col customWidth="1" min="5" max="5" width="31.0"/>
    <col customWidth="1" min="6" max="6" width="4.0"/>
    <col customWidth="1" min="7" max="7" width="4.88"/>
    <col customWidth="1" min="8" max="8" width="5.63"/>
    <col customWidth="1" min="9" max="9" width="94.75"/>
    <col customWidth="1" min="10" max="10" width="12.63"/>
    <col customWidth="1" min="11" max="12" width="6.5"/>
  </cols>
  <sheetData>
    <row r="1">
      <c r="A1" s="23" t="s">
        <v>35</v>
      </c>
      <c r="B1" s="23" t="s">
        <v>40</v>
      </c>
      <c r="C1" s="23" t="s">
        <v>2</v>
      </c>
      <c r="D1" s="25" t="s">
        <v>3</v>
      </c>
      <c r="E1" s="23" t="s">
        <v>57</v>
      </c>
      <c r="F1" s="23" t="s">
        <v>60</v>
      </c>
      <c r="G1" s="23" t="s">
        <v>62</v>
      </c>
      <c r="H1" s="23" t="s">
        <v>64</v>
      </c>
      <c r="I1" s="23" t="s">
        <v>10</v>
      </c>
      <c r="J1" s="23" t="s">
        <v>68</v>
      </c>
      <c r="K1" s="31"/>
      <c r="L1" s="31"/>
    </row>
    <row r="2">
      <c r="A2" s="37">
        <f>Underworld!A28</f>
        <v>23</v>
      </c>
      <c r="B2" s="40"/>
      <c r="C2" s="37" t="s">
        <v>107</v>
      </c>
      <c r="D2" s="43" t="s">
        <v>109</v>
      </c>
      <c r="E2" s="37" t="s">
        <v>118</v>
      </c>
      <c r="F2" s="37" t="s">
        <v>109</v>
      </c>
      <c r="G2" s="37" t="s">
        <v>109</v>
      </c>
      <c r="H2" s="37" t="s">
        <v>109</v>
      </c>
      <c r="I2" s="53" t="s">
        <v>123</v>
      </c>
      <c r="J2" s="40"/>
      <c r="K2" s="40"/>
      <c r="L2" s="40"/>
    </row>
    <row r="3">
      <c r="A3" s="37">
        <f>Planes!A20</f>
        <v>17</v>
      </c>
      <c r="B3" s="40"/>
      <c r="C3" s="37" t="s">
        <v>213</v>
      </c>
      <c r="D3" s="43" t="s">
        <v>109</v>
      </c>
      <c r="E3" s="37" t="s">
        <v>118</v>
      </c>
      <c r="F3" s="37" t="s">
        <v>109</v>
      </c>
      <c r="G3" s="37" t="s">
        <v>109</v>
      </c>
      <c r="H3" s="37" t="s">
        <v>109</v>
      </c>
      <c r="I3" s="53" t="s">
        <v>216</v>
      </c>
      <c r="J3" s="37"/>
      <c r="K3" s="40"/>
      <c r="L3" s="40"/>
    </row>
    <row r="4">
      <c r="A4" s="64">
        <v>1.0</v>
      </c>
      <c r="B4" s="64">
        <v>1300.0</v>
      </c>
      <c r="C4" s="67" t="s">
        <v>253</v>
      </c>
      <c r="D4" s="68"/>
      <c r="E4" s="64" t="s">
        <v>259</v>
      </c>
      <c r="F4" s="64" t="s">
        <v>115</v>
      </c>
      <c r="G4" s="69"/>
      <c r="H4" s="64"/>
      <c r="I4" s="64" t="s">
        <v>264</v>
      </c>
      <c r="J4" s="69"/>
      <c r="K4" s="69"/>
      <c r="L4" s="69"/>
    </row>
    <row r="5">
      <c r="A5" s="67">
        <v>1.0</v>
      </c>
      <c r="B5" s="67">
        <v>1416.0</v>
      </c>
      <c r="C5" s="64" t="s">
        <v>271</v>
      </c>
      <c r="D5" s="68" t="s">
        <v>142</v>
      </c>
      <c r="E5" s="64" t="s">
        <v>259</v>
      </c>
      <c r="F5" s="64" t="s">
        <v>115</v>
      </c>
      <c r="G5" s="69"/>
      <c r="H5" s="69"/>
      <c r="I5" s="69"/>
      <c r="J5" s="69"/>
      <c r="K5" s="69"/>
      <c r="L5" s="69"/>
    </row>
    <row r="6">
      <c r="A6" s="67">
        <v>1.0</v>
      </c>
      <c r="B6" s="67">
        <v>1039.0</v>
      </c>
      <c r="C6" s="64" t="s">
        <v>358</v>
      </c>
      <c r="D6" s="68" t="s">
        <v>142</v>
      </c>
      <c r="E6" s="64" t="s">
        <v>259</v>
      </c>
      <c r="F6" s="64" t="s">
        <v>115</v>
      </c>
      <c r="G6" s="64" t="s">
        <v>115</v>
      </c>
      <c r="H6" s="69"/>
      <c r="I6" s="69"/>
      <c r="J6" s="69"/>
      <c r="K6" s="69"/>
      <c r="L6" s="69"/>
    </row>
    <row r="7">
      <c r="A7" s="67">
        <v>1.0</v>
      </c>
      <c r="B7" s="67">
        <v>1180.0</v>
      </c>
      <c r="C7" s="64" t="s">
        <v>368</v>
      </c>
      <c r="D7" s="68" t="s">
        <v>207</v>
      </c>
      <c r="E7" s="64" t="s">
        <v>370</v>
      </c>
      <c r="F7" s="64" t="s">
        <v>115</v>
      </c>
      <c r="G7" s="64" t="s">
        <v>217</v>
      </c>
      <c r="H7" s="64" t="s">
        <v>217</v>
      </c>
      <c r="I7" s="64" t="s">
        <v>373</v>
      </c>
      <c r="J7" s="69"/>
      <c r="K7" s="69"/>
      <c r="L7" s="69"/>
    </row>
    <row r="8">
      <c r="A8" s="64">
        <v>1.0</v>
      </c>
      <c r="B8" s="64">
        <v>1263.0</v>
      </c>
      <c r="C8" s="64" t="s">
        <v>377</v>
      </c>
      <c r="D8" s="68"/>
      <c r="E8" s="64" t="s">
        <v>378</v>
      </c>
      <c r="F8" s="64" t="s">
        <v>115</v>
      </c>
      <c r="G8" s="69"/>
      <c r="H8" s="69"/>
      <c r="I8" s="69"/>
      <c r="J8" s="69"/>
      <c r="K8" s="69"/>
      <c r="L8" s="69"/>
    </row>
    <row r="9">
      <c r="A9" s="64">
        <v>1.0</v>
      </c>
      <c r="B9" s="67">
        <v>1275.0</v>
      </c>
      <c r="C9" s="64" t="s">
        <v>384</v>
      </c>
      <c r="D9" s="68" t="s">
        <v>142</v>
      </c>
      <c r="E9" s="64" t="s">
        <v>393</v>
      </c>
      <c r="F9" s="64" t="s">
        <v>115</v>
      </c>
      <c r="G9" s="69"/>
      <c r="H9" s="69"/>
      <c r="I9" s="69"/>
      <c r="J9" s="69"/>
      <c r="K9" s="69"/>
      <c r="L9" s="69"/>
    </row>
    <row r="10">
      <c r="A10" s="64">
        <v>1.0</v>
      </c>
      <c r="B10" s="67">
        <v>1199.0</v>
      </c>
      <c r="C10" s="64" t="s">
        <v>409</v>
      </c>
      <c r="D10" s="68"/>
      <c r="E10" s="64" t="s">
        <v>412</v>
      </c>
      <c r="F10" s="64" t="s">
        <v>115</v>
      </c>
      <c r="G10" s="69"/>
      <c r="H10" s="69"/>
      <c r="I10" s="69"/>
      <c r="J10" s="69"/>
      <c r="K10" s="69"/>
      <c r="L10" s="69"/>
    </row>
    <row r="11">
      <c r="A11" s="64">
        <v>1.0</v>
      </c>
      <c r="B11" s="67">
        <v>1274.0</v>
      </c>
      <c r="C11" s="64" t="s">
        <v>418</v>
      </c>
      <c r="D11" s="68"/>
      <c r="E11" s="64" t="s">
        <v>421</v>
      </c>
      <c r="F11" s="64" t="s">
        <v>115</v>
      </c>
      <c r="G11" s="69"/>
      <c r="H11" s="69"/>
      <c r="I11" s="69"/>
      <c r="J11" s="69"/>
      <c r="K11" s="69"/>
      <c r="L11" s="69"/>
    </row>
    <row r="12">
      <c r="A12" s="64">
        <v>1.0</v>
      </c>
      <c r="B12" s="64">
        <v>131.0</v>
      </c>
      <c r="C12" s="64" t="s">
        <v>432</v>
      </c>
      <c r="D12" s="68"/>
      <c r="E12" s="64" t="s">
        <v>434</v>
      </c>
      <c r="F12" s="64" t="s">
        <v>115</v>
      </c>
      <c r="G12" s="64" t="s">
        <v>115</v>
      </c>
      <c r="H12" s="64"/>
      <c r="I12" s="64" t="s">
        <v>436</v>
      </c>
      <c r="J12" s="69"/>
      <c r="K12" s="69"/>
      <c r="L12" s="69"/>
    </row>
    <row r="13">
      <c r="A13" s="64">
        <v>1.0</v>
      </c>
      <c r="B13" s="44">
        <v>1294.0</v>
      </c>
      <c r="C13" s="64" t="s">
        <v>443</v>
      </c>
      <c r="D13" s="68"/>
      <c r="E13" s="64" t="s">
        <v>444</v>
      </c>
      <c r="F13" s="64" t="s">
        <v>115</v>
      </c>
      <c r="G13" s="69"/>
      <c r="H13" s="69"/>
      <c r="I13" s="69"/>
      <c r="J13" s="69"/>
      <c r="K13" s="69"/>
      <c r="L13" s="69"/>
    </row>
    <row r="14">
      <c r="A14" s="64">
        <v>1.0</v>
      </c>
      <c r="B14" s="64">
        <v>1237.0</v>
      </c>
      <c r="C14" s="64" t="s">
        <v>450</v>
      </c>
      <c r="D14" s="68"/>
      <c r="E14" s="64" t="s">
        <v>452</v>
      </c>
      <c r="F14" s="64" t="s">
        <v>115</v>
      </c>
      <c r="G14" s="69"/>
      <c r="H14" s="69"/>
      <c r="I14" s="69"/>
      <c r="J14" s="69"/>
      <c r="K14" s="69"/>
      <c r="L14" s="69"/>
    </row>
    <row r="15">
      <c r="A15" s="64">
        <v>1.0</v>
      </c>
      <c r="B15" s="44">
        <v>1230.0</v>
      </c>
      <c r="C15" s="64" t="s">
        <v>459</v>
      </c>
      <c r="D15" s="68" t="s">
        <v>142</v>
      </c>
      <c r="E15" s="64" t="s">
        <v>452</v>
      </c>
      <c r="F15" s="64" t="s">
        <v>115</v>
      </c>
      <c r="G15" s="69"/>
      <c r="H15" s="69"/>
      <c r="I15" s="69"/>
      <c r="J15" s="69"/>
      <c r="K15" s="69"/>
      <c r="L15" s="69"/>
    </row>
    <row r="16">
      <c r="A16" s="64">
        <v>1.0</v>
      </c>
      <c r="B16" s="44">
        <v>1229.0</v>
      </c>
      <c r="C16" s="64" t="s">
        <v>466</v>
      </c>
      <c r="D16" s="68" t="s">
        <v>142</v>
      </c>
      <c r="E16" s="64" t="s">
        <v>452</v>
      </c>
      <c r="F16" s="64" t="s">
        <v>115</v>
      </c>
      <c r="G16" s="69"/>
      <c r="H16" s="69"/>
      <c r="I16" s="69"/>
      <c r="J16" s="69"/>
      <c r="K16" s="69"/>
      <c r="L16" s="69"/>
    </row>
    <row r="17">
      <c r="A17" s="64">
        <v>1.0</v>
      </c>
      <c r="B17" s="44">
        <v>1234.0</v>
      </c>
      <c r="C17" s="64" t="s">
        <v>471</v>
      </c>
      <c r="D17" s="68"/>
      <c r="E17" s="64" t="s">
        <v>452</v>
      </c>
      <c r="F17" s="64" t="s">
        <v>115</v>
      </c>
      <c r="G17" s="69"/>
      <c r="H17" s="69"/>
      <c r="I17" s="69"/>
      <c r="J17" s="69"/>
      <c r="K17" s="69"/>
      <c r="L17" s="69"/>
    </row>
    <row r="18">
      <c r="A18" s="64">
        <v>1.0</v>
      </c>
      <c r="B18" s="64">
        <v>1591.0</v>
      </c>
      <c r="C18" s="44" t="s">
        <v>475</v>
      </c>
      <c r="D18" s="94"/>
      <c r="E18" s="96" t="s">
        <v>481</v>
      </c>
      <c r="F18" s="38" t="s">
        <v>115</v>
      </c>
      <c r="G18" s="69"/>
      <c r="H18" s="69"/>
      <c r="I18" s="69"/>
      <c r="J18" s="69"/>
      <c r="K18" s="69"/>
      <c r="L18" s="69"/>
    </row>
    <row r="19">
      <c r="A19" s="64">
        <v>1.0</v>
      </c>
      <c r="B19" s="44">
        <v>1100.0</v>
      </c>
      <c r="C19" s="96" t="s">
        <v>493</v>
      </c>
      <c r="D19" s="101"/>
      <c r="E19" s="38" t="s">
        <v>497</v>
      </c>
      <c r="F19" s="38" t="s">
        <v>115</v>
      </c>
      <c r="G19" s="69"/>
      <c r="H19" s="69"/>
      <c r="I19" s="69"/>
      <c r="J19" s="69"/>
      <c r="K19" s="69"/>
      <c r="L19" s="69"/>
    </row>
    <row r="20">
      <c r="A20" s="64">
        <v>1.0</v>
      </c>
      <c r="B20" s="44">
        <v>1386.0</v>
      </c>
      <c r="C20" s="64" t="s">
        <v>501</v>
      </c>
      <c r="D20" s="68" t="s">
        <v>142</v>
      </c>
      <c r="E20" s="64" t="s">
        <v>503</v>
      </c>
      <c r="F20" s="64" t="s">
        <v>115</v>
      </c>
      <c r="G20" s="64" t="s">
        <v>115</v>
      </c>
      <c r="H20" s="64" t="s">
        <v>217</v>
      </c>
      <c r="I20" s="64" t="s">
        <v>506</v>
      </c>
      <c r="J20" s="69"/>
      <c r="K20" s="69"/>
      <c r="L20" s="69"/>
    </row>
    <row r="21">
      <c r="A21" s="64">
        <v>1.0</v>
      </c>
      <c r="B21" s="44">
        <v>5521.0</v>
      </c>
      <c r="C21" s="44" t="s">
        <v>509</v>
      </c>
      <c r="D21" s="68" t="s">
        <v>511</v>
      </c>
      <c r="E21" s="64" t="s">
        <v>513</v>
      </c>
      <c r="F21" s="64"/>
      <c r="G21" s="64"/>
      <c r="H21" s="64"/>
      <c r="I21" s="64" t="s">
        <v>514</v>
      </c>
      <c r="J21" s="69"/>
      <c r="K21" s="69"/>
      <c r="L21" s="69"/>
    </row>
    <row r="22">
      <c r="A22" s="64">
        <v>1.0</v>
      </c>
      <c r="B22" s="44">
        <v>1222.0</v>
      </c>
      <c r="C22" s="44" t="s">
        <v>517</v>
      </c>
      <c r="D22" s="68" t="s">
        <v>143</v>
      </c>
      <c r="E22" s="64" t="s">
        <v>518</v>
      </c>
      <c r="F22" s="64"/>
      <c r="G22" s="64"/>
      <c r="H22" s="64"/>
      <c r="I22" s="64"/>
      <c r="J22" s="69"/>
      <c r="K22" s="69"/>
      <c r="L22" s="69"/>
    </row>
    <row r="23">
      <c r="A23" s="64">
        <v>1.0</v>
      </c>
      <c r="B23" s="44">
        <v>1332.0</v>
      </c>
      <c r="C23" s="44" t="s">
        <v>521</v>
      </c>
      <c r="D23" s="68" t="s">
        <v>522</v>
      </c>
      <c r="E23" s="64" t="s">
        <v>524</v>
      </c>
      <c r="F23" s="64"/>
      <c r="G23" s="64"/>
      <c r="H23" s="64"/>
      <c r="I23" s="64"/>
      <c r="J23" s="69"/>
      <c r="K23" s="69"/>
      <c r="L23" s="69"/>
    </row>
    <row r="24">
      <c r="A24" s="64">
        <v>1.0</v>
      </c>
      <c r="B24" s="44">
        <v>1432.0</v>
      </c>
      <c r="C24" s="44" t="s">
        <v>528</v>
      </c>
      <c r="D24" s="111">
        <v>44047.0</v>
      </c>
      <c r="E24" s="64" t="s">
        <v>530</v>
      </c>
      <c r="F24" s="64"/>
      <c r="G24" s="64"/>
      <c r="H24" s="64"/>
      <c r="I24" s="64"/>
      <c r="J24" s="69"/>
      <c r="K24" s="69"/>
      <c r="L24" s="69"/>
    </row>
    <row r="25">
      <c r="A25" s="64">
        <v>1.0</v>
      </c>
      <c r="B25" s="44">
        <v>116.0</v>
      </c>
      <c r="C25" s="64" t="s">
        <v>534</v>
      </c>
      <c r="D25" s="68" t="s">
        <v>535</v>
      </c>
      <c r="E25" s="64" t="s">
        <v>259</v>
      </c>
      <c r="F25" s="64" t="s">
        <v>115</v>
      </c>
      <c r="G25" s="64" t="s">
        <v>115</v>
      </c>
      <c r="H25" s="64" t="s">
        <v>186</v>
      </c>
      <c r="I25" s="64" t="s">
        <v>538</v>
      </c>
      <c r="J25" s="69"/>
      <c r="K25" s="69"/>
      <c r="L25" s="69"/>
    </row>
    <row r="26">
      <c r="A26" s="64">
        <v>1.0</v>
      </c>
      <c r="B26" s="64">
        <v>1141.0</v>
      </c>
      <c r="C26" s="44" t="s">
        <v>541</v>
      </c>
      <c r="D26" s="68" t="s">
        <v>542</v>
      </c>
      <c r="E26" s="64" t="s">
        <v>543</v>
      </c>
      <c r="F26" s="69"/>
      <c r="G26" s="69"/>
      <c r="H26" s="69"/>
      <c r="I26" s="64" t="s">
        <v>548</v>
      </c>
      <c r="J26" s="69"/>
      <c r="K26" s="69"/>
      <c r="L26" s="69"/>
    </row>
    <row r="27">
      <c r="A27" s="64">
        <v>1.0</v>
      </c>
      <c r="B27" s="64">
        <v>1299.0</v>
      </c>
      <c r="C27" s="64" t="s">
        <v>550</v>
      </c>
      <c r="D27" s="68" t="s">
        <v>551</v>
      </c>
      <c r="E27" s="64" t="s">
        <v>552</v>
      </c>
      <c r="F27" s="69"/>
      <c r="G27" s="69"/>
      <c r="H27" s="69"/>
      <c r="I27" s="64" t="s">
        <v>555</v>
      </c>
      <c r="J27" s="69"/>
      <c r="K27" s="69"/>
      <c r="L27" s="69"/>
    </row>
    <row r="28">
      <c r="A28" s="64">
        <v>1.0</v>
      </c>
      <c r="B28" s="64">
        <v>1144.0</v>
      </c>
      <c r="C28" s="64" t="s">
        <v>559</v>
      </c>
      <c r="D28" s="68" t="s">
        <v>560</v>
      </c>
      <c r="E28" s="64" t="s">
        <v>561</v>
      </c>
      <c r="F28" s="69"/>
      <c r="G28" s="69"/>
      <c r="H28" s="69"/>
      <c r="I28" s="64" t="s">
        <v>564</v>
      </c>
      <c r="J28" s="69"/>
      <c r="K28" s="69"/>
      <c r="L28" s="69"/>
    </row>
    <row r="29">
      <c r="A29" s="64">
        <v>1.0</v>
      </c>
      <c r="B29" s="64">
        <v>292.0</v>
      </c>
      <c r="C29" s="64" t="s">
        <v>566</v>
      </c>
      <c r="D29" s="68" t="s">
        <v>568</v>
      </c>
      <c r="E29" s="64" t="s">
        <v>569</v>
      </c>
      <c r="F29" s="69"/>
      <c r="G29" s="69"/>
      <c r="H29" s="69"/>
      <c r="I29" s="116" t="s">
        <v>571</v>
      </c>
      <c r="J29" s="69"/>
      <c r="K29" s="69"/>
      <c r="L29" s="69"/>
    </row>
    <row r="30">
      <c r="A30" s="64">
        <v>1.0</v>
      </c>
      <c r="B30" s="64">
        <v>345.0</v>
      </c>
      <c r="C30" s="64" t="s">
        <v>214</v>
      </c>
      <c r="D30" s="68" t="s">
        <v>542</v>
      </c>
      <c r="E30" s="64" t="s">
        <v>578</v>
      </c>
      <c r="F30" s="69"/>
      <c r="G30" s="69"/>
      <c r="H30" s="69"/>
      <c r="I30" s="64" t="s">
        <v>579</v>
      </c>
      <c r="J30" s="69"/>
      <c r="K30" s="69"/>
      <c r="L30" s="69"/>
    </row>
    <row r="31">
      <c r="A31" s="64">
        <v>1.0</v>
      </c>
      <c r="B31" s="64">
        <v>1177.0</v>
      </c>
      <c r="C31" s="64" t="s">
        <v>584</v>
      </c>
      <c r="D31" s="68" t="s">
        <v>585</v>
      </c>
      <c r="E31" s="64" t="s">
        <v>587</v>
      </c>
      <c r="F31" s="69"/>
      <c r="G31" s="69"/>
      <c r="H31" s="69"/>
      <c r="I31" s="64" t="s">
        <v>588</v>
      </c>
      <c r="J31" s="69"/>
      <c r="K31" s="69"/>
      <c r="L31" s="69"/>
    </row>
    <row r="32">
      <c r="A32" s="64">
        <v>1.0</v>
      </c>
      <c r="B32" s="64">
        <v>1360.0</v>
      </c>
      <c r="C32" s="64" t="s">
        <v>591</v>
      </c>
      <c r="D32" s="68" t="s">
        <v>560</v>
      </c>
      <c r="E32" s="64" t="s">
        <v>592</v>
      </c>
      <c r="F32" s="69"/>
      <c r="G32" s="69"/>
      <c r="H32" s="69"/>
      <c r="I32" s="64" t="s">
        <v>594</v>
      </c>
      <c r="J32" s="69"/>
      <c r="K32" s="69"/>
      <c r="L32" s="69"/>
    </row>
    <row r="33">
      <c r="A33" s="64">
        <v>1.0</v>
      </c>
      <c r="B33" s="64">
        <v>1053.0</v>
      </c>
      <c r="C33" s="64" t="s">
        <v>596</v>
      </c>
      <c r="D33" s="68" t="s">
        <v>597</v>
      </c>
      <c r="E33" s="64" t="s">
        <v>598</v>
      </c>
      <c r="F33" s="69"/>
      <c r="G33" s="69"/>
      <c r="H33" s="69"/>
      <c r="I33" s="64" t="s">
        <v>599</v>
      </c>
      <c r="J33" s="69"/>
      <c r="K33" s="69"/>
      <c r="L33" s="69"/>
    </row>
    <row r="34">
      <c r="A34" s="64">
        <v>1.0</v>
      </c>
      <c r="B34" s="64">
        <v>1803.0</v>
      </c>
      <c r="C34" s="64" t="s">
        <v>600</v>
      </c>
      <c r="D34" s="68" t="s">
        <v>542</v>
      </c>
      <c r="E34" s="64" t="s">
        <v>601</v>
      </c>
      <c r="F34" s="69"/>
      <c r="G34" s="69"/>
      <c r="H34" s="69"/>
      <c r="I34" s="64" t="s">
        <v>603</v>
      </c>
      <c r="J34" s="69"/>
      <c r="K34" s="69"/>
      <c r="L34" s="69"/>
    </row>
    <row r="35">
      <c r="A35" s="64">
        <v>1.0</v>
      </c>
      <c r="B35" s="64">
        <v>1052.0</v>
      </c>
      <c r="C35" s="64" t="s">
        <v>605</v>
      </c>
      <c r="D35" s="68" t="s">
        <v>606</v>
      </c>
      <c r="E35" s="64" t="s">
        <v>607</v>
      </c>
      <c r="F35" s="69"/>
      <c r="G35" s="69"/>
      <c r="H35" s="69"/>
      <c r="I35" s="64" t="s">
        <v>608</v>
      </c>
      <c r="J35" s="69"/>
      <c r="K35" s="69"/>
      <c r="L35" s="69"/>
    </row>
    <row r="36">
      <c r="A36" s="64">
        <v>1.0</v>
      </c>
      <c r="B36" s="64">
        <v>1187.0</v>
      </c>
      <c r="C36" s="64" t="s">
        <v>609</v>
      </c>
      <c r="D36" s="68" t="s">
        <v>610</v>
      </c>
      <c r="E36" s="44" t="s">
        <v>611</v>
      </c>
      <c r="F36" s="69"/>
      <c r="G36" s="69"/>
      <c r="H36" s="69"/>
      <c r="I36" s="44" t="s">
        <v>614</v>
      </c>
      <c r="J36" s="69"/>
      <c r="K36" s="69"/>
      <c r="L36" s="69"/>
    </row>
    <row r="37">
      <c r="A37" s="64"/>
      <c r="B37" s="64"/>
      <c r="C37" s="64"/>
      <c r="D37" s="68"/>
      <c r="E37" s="64"/>
      <c r="F37" s="69"/>
      <c r="G37" s="69"/>
      <c r="H37" s="69"/>
      <c r="I37" s="69"/>
      <c r="J37" s="69"/>
      <c r="K37" s="69"/>
      <c r="L37" s="69"/>
    </row>
    <row r="38">
      <c r="A38" s="64">
        <v>0.0</v>
      </c>
      <c r="B38" s="64" t="s">
        <v>245</v>
      </c>
      <c r="C38" s="64" t="s">
        <v>247</v>
      </c>
      <c r="D38" s="68" t="s">
        <v>619</v>
      </c>
      <c r="E38" s="64" t="s">
        <v>620</v>
      </c>
      <c r="F38" s="69"/>
      <c r="G38" s="69"/>
      <c r="H38" s="69"/>
      <c r="I38" s="69"/>
      <c r="J38" s="69"/>
      <c r="K38" s="69"/>
      <c r="L38" s="69"/>
    </row>
    <row r="39">
      <c r="A39" s="69"/>
      <c r="B39" s="69"/>
      <c r="C39" s="69"/>
      <c r="D39" s="109"/>
      <c r="E39" s="69"/>
      <c r="F39" s="69"/>
      <c r="G39" s="69"/>
      <c r="H39" s="69"/>
      <c r="I39" s="69"/>
      <c r="J39" s="69"/>
      <c r="K39" s="69"/>
      <c r="L39" s="69"/>
    </row>
    <row r="40">
      <c r="A40" s="121">
        <f>sum(A2:A39)</f>
        <v>73</v>
      </c>
      <c r="B40" s="123" t="s">
        <v>651</v>
      </c>
      <c r="C40" s="123" t="s">
        <v>651</v>
      </c>
      <c r="D40" s="125"/>
      <c r="E40" s="123" t="s">
        <v>651</v>
      </c>
      <c r="F40" s="123"/>
      <c r="G40" s="123"/>
      <c r="H40" s="123"/>
      <c r="I40" s="123" t="s">
        <v>651</v>
      </c>
      <c r="J40" s="123" t="s">
        <v>651</v>
      </c>
      <c r="K40" s="123" t="s">
        <v>651</v>
      </c>
      <c r="L40" s="123"/>
    </row>
    <row r="41">
      <c r="A41" s="64" t="s">
        <v>293</v>
      </c>
      <c r="B41" s="69"/>
      <c r="C41" s="69"/>
      <c r="D41" s="109"/>
      <c r="E41" s="69"/>
      <c r="F41" s="69"/>
      <c r="G41" s="69"/>
      <c r="H41" s="69"/>
      <c r="I41" s="64" t="s">
        <v>683</v>
      </c>
      <c r="J41" s="69"/>
      <c r="K41" s="69"/>
      <c r="L41" s="69"/>
    </row>
    <row r="42">
      <c r="A42" s="69"/>
      <c r="B42" s="69"/>
      <c r="C42" s="69"/>
      <c r="D42" s="109"/>
      <c r="E42" s="69"/>
      <c r="F42" s="69"/>
      <c r="G42" s="69"/>
      <c r="H42" s="69"/>
      <c r="I42" s="64" t="s">
        <v>686</v>
      </c>
      <c r="J42" s="69"/>
      <c r="K42" s="69"/>
      <c r="L42" s="69"/>
    </row>
    <row r="43">
      <c r="A43" s="69"/>
      <c r="B43" s="69"/>
      <c r="C43" s="69"/>
      <c r="D43" s="109"/>
      <c r="E43" s="69"/>
      <c r="F43" s="69"/>
      <c r="G43" s="69"/>
      <c r="H43" s="69"/>
      <c r="I43" s="64" t="s">
        <v>690</v>
      </c>
      <c r="J43" s="69"/>
      <c r="K43" s="69"/>
      <c r="L43" s="69"/>
    </row>
  </sheetData>
  <hyperlinks>
    <hyperlink r:id="rId1" ref="I2"/>
    <hyperlink r:id="rId2" ref="I3"/>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2" width="6.25"/>
    <col customWidth="1" min="3" max="3" width="26.13"/>
    <col customWidth="1" min="4" max="5" width="4.25"/>
    <col customWidth="1" min="6" max="6" width="4.63"/>
    <col customWidth="1" min="7" max="7" width="5.63"/>
    <col customWidth="1" min="8" max="8" width="4.63"/>
    <col customWidth="1" min="9" max="9" width="65.0"/>
    <col customWidth="1" min="10" max="10" width="11.38"/>
    <col customWidth="1" min="13" max="13" width="41.63"/>
  </cols>
  <sheetData>
    <row r="1">
      <c r="A1" s="23" t="s">
        <v>35</v>
      </c>
      <c r="B1" s="23" t="s">
        <v>40</v>
      </c>
      <c r="C1" s="29" t="s">
        <v>2</v>
      </c>
      <c r="D1" s="23" t="s">
        <v>76</v>
      </c>
      <c r="E1" s="23" t="s">
        <v>60</v>
      </c>
      <c r="F1" s="23" t="s">
        <v>62</v>
      </c>
      <c r="G1" s="23" t="s">
        <v>64</v>
      </c>
      <c r="H1" s="23" t="s">
        <v>3</v>
      </c>
      <c r="I1" s="23" t="s">
        <v>10</v>
      </c>
      <c r="J1" s="23" t="s">
        <v>68</v>
      </c>
      <c r="K1" s="31"/>
      <c r="L1" s="31"/>
      <c r="M1" s="31"/>
    </row>
    <row r="2">
      <c r="A2" s="38">
        <v>1.0</v>
      </c>
      <c r="B2" s="38">
        <v>1269.0</v>
      </c>
      <c r="C2" s="41" t="s">
        <v>104</v>
      </c>
      <c r="D2" s="38" t="s">
        <v>115</v>
      </c>
      <c r="E2" s="38" t="s">
        <v>115</v>
      </c>
    </row>
    <row r="3">
      <c r="A3" s="38">
        <v>1.0</v>
      </c>
      <c r="B3" s="44">
        <v>1281.0</v>
      </c>
      <c r="C3" s="41" t="s">
        <v>122</v>
      </c>
      <c r="D3" s="38" t="s">
        <v>115</v>
      </c>
      <c r="E3" s="38" t="s">
        <v>115</v>
      </c>
    </row>
    <row r="4">
      <c r="A4" s="38">
        <v>1.0</v>
      </c>
      <c r="B4" s="44">
        <v>1365.0</v>
      </c>
      <c r="C4" s="41" t="s">
        <v>128</v>
      </c>
      <c r="D4" s="38" t="s">
        <v>115</v>
      </c>
      <c r="E4" s="38" t="s">
        <v>115</v>
      </c>
    </row>
    <row r="5">
      <c r="A5" s="38">
        <v>1.0</v>
      </c>
      <c r="B5" s="44">
        <v>1067.0</v>
      </c>
      <c r="C5" s="41" t="s">
        <v>132</v>
      </c>
      <c r="D5" s="38" t="s">
        <v>115</v>
      </c>
      <c r="E5" s="38" t="s">
        <v>115</v>
      </c>
    </row>
    <row r="6">
      <c r="A6" s="38">
        <v>1.0</v>
      </c>
      <c r="B6" s="44">
        <v>1219.0</v>
      </c>
      <c r="C6" s="41" t="s">
        <v>136</v>
      </c>
      <c r="D6" s="38" t="s">
        <v>115</v>
      </c>
      <c r="E6" s="38" t="s">
        <v>115</v>
      </c>
    </row>
    <row r="7">
      <c r="A7" s="38">
        <v>1.0</v>
      </c>
      <c r="B7" s="44">
        <v>1056.0</v>
      </c>
      <c r="C7" s="41" t="s">
        <v>140</v>
      </c>
      <c r="D7" s="38" t="s">
        <v>115</v>
      </c>
      <c r="E7" s="38" t="s">
        <v>115</v>
      </c>
      <c r="G7" s="38"/>
      <c r="H7" s="38" t="s">
        <v>142</v>
      </c>
    </row>
    <row r="8">
      <c r="A8" s="38">
        <v>1.0</v>
      </c>
      <c r="B8" s="44">
        <v>1335.0</v>
      </c>
      <c r="C8" s="41" t="s">
        <v>146</v>
      </c>
      <c r="D8" s="38" t="s">
        <v>115</v>
      </c>
      <c r="E8" s="38" t="s">
        <v>115</v>
      </c>
    </row>
    <row r="9">
      <c r="A9" s="38">
        <v>1.0</v>
      </c>
      <c r="B9" s="44">
        <v>1255.0</v>
      </c>
      <c r="C9" s="41" t="s">
        <v>150</v>
      </c>
      <c r="D9" s="38" t="s">
        <v>115</v>
      </c>
      <c r="E9" s="38" t="s">
        <v>115</v>
      </c>
    </row>
    <row r="10">
      <c r="A10" s="38">
        <v>1.0</v>
      </c>
      <c r="B10" s="44">
        <v>1181.0</v>
      </c>
      <c r="C10" s="41" t="s">
        <v>155</v>
      </c>
      <c r="D10" s="38" t="s">
        <v>115</v>
      </c>
      <c r="E10" s="38" t="s">
        <v>115</v>
      </c>
    </row>
    <row r="11">
      <c r="A11" s="38">
        <v>1.0</v>
      </c>
      <c r="B11" s="44">
        <v>1203.0</v>
      </c>
      <c r="C11" s="41" t="s">
        <v>160</v>
      </c>
      <c r="D11" s="38" t="s">
        <v>115</v>
      </c>
      <c r="E11" s="38" t="s">
        <v>115</v>
      </c>
    </row>
    <row r="12">
      <c r="A12" s="38">
        <v>1.0</v>
      </c>
      <c r="B12" s="44">
        <v>1420.0</v>
      </c>
      <c r="C12" s="41" t="s">
        <v>164</v>
      </c>
      <c r="D12" s="38" t="s">
        <v>115</v>
      </c>
      <c r="E12" s="38" t="s">
        <v>115</v>
      </c>
    </row>
    <row r="13">
      <c r="A13" s="38">
        <v>1.0</v>
      </c>
      <c r="B13" s="44">
        <v>1211.0</v>
      </c>
      <c r="C13" s="41" t="s">
        <v>170</v>
      </c>
      <c r="D13" s="38" t="s">
        <v>115</v>
      </c>
      <c r="E13" s="38" t="s">
        <v>115</v>
      </c>
    </row>
    <row r="14">
      <c r="A14" s="38">
        <v>1.0</v>
      </c>
      <c r="B14" s="44">
        <v>1350.0</v>
      </c>
      <c r="C14" s="41" t="s">
        <v>173</v>
      </c>
      <c r="D14" s="38" t="s">
        <v>115</v>
      </c>
      <c r="E14" s="38" t="s">
        <v>115</v>
      </c>
      <c r="G14" s="38"/>
      <c r="H14" s="38" t="s">
        <v>142</v>
      </c>
    </row>
    <row r="15">
      <c r="A15" s="38">
        <v>1.0</v>
      </c>
      <c r="B15" s="44">
        <v>1369.0</v>
      </c>
      <c r="C15" s="41" t="s">
        <v>179</v>
      </c>
      <c r="D15" s="38" t="s">
        <v>115</v>
      </c>
      <c r="E15" s="38" t="s">
        <v>115</v>
      </c>
    </row>
    <row r="16">
      <c r="A16" s="38">
        <v>1.0</v>
      </c>
      <c r="B16" s="44">
        <v>1394.0</v>
      </c>
      <c r="C16" s="41" t="s">
        <v>183</v>
      </c>
      <c r="D16" s="38" t="s">
        <v>115</v>
      </c>
      <c r="E16" s="38" t="s">
        <v>115</v>
      </c>
      <c r="G16" s="38" t="s">
        <v>186</v>
      </c>
    </row>
    <row r="17">
      <c r="A17" s="38">
        <v>1.0</v>
      </c>
      <c r="B17" s="44">
        <v>1555.0</v>
      </c>
      <c r="C17" s="41" t="s">
        <v>189</v>
      </c>
      <c r="D17" s="38" t="s">
        <v>115</v>
      </c>
      <c r="E17" s="38" t="s">
        <v>115</v>
      </c>
      <c r="F17" s="38" t="s">
        <v>115</v>
      </c>
      <c r="G17" s="38" t="s">
        <v>186</v>
      </c>
      <c r="H17" s="38" t="s">
        <v>194</v>
      </c>
    </row>
    <row r="18">
      <c r="A18" s="38">
        <v>1.0</v>
      </c>
      <c r="B18" s="44">
        <v>1132.0</v>
      </c>
      <c r="C18" s="44" t="s">
        <v>196</v>
      </c>
      <c r="D18" s="38" t="s">
        <v>115</v>
      </c>
      <c r="E18" s="38"/>
      <c r="I18" s="38" t="s">
        <v>200</v>
      </c>
    </row>
    <row r="19">
      <c r="A19" s="38">
        <v>1.0</v>
      </c>
      <c r="B19" s="44">
        <v>1130.0</v>
      </c>
      <c r="C19" s="44" t="s">
        <v>203</v>
      </c>
      <c r="D19" s="38" t="s">
        <v>115</v>
      </c>
      <c r="E19" s="38"/>
      <c r="I19" s="38" t="s">
        <v>206</v>
      </c>
    </row>
    <row r="20">
      <c r="A20" s="38">
        <v>1.0</v>
      </c>
      <c r="B20" s="44">
        <v>1391.0</v>
      </c>
      <c r="C20" s="41" t="s">
        <v>210</v>
      </c>
      <c r="D20" s="38" t="s">
        <v>115</v>
      </c>
      <c r="E20" s="38" t="s">
        <v>115</v>
      </c>
    </row>
    <row r="21">
      <c r="A21" s="38">
        <v>1.0</v>
      </c>
      <c r="B21" s="38">
        <v>345.0</v>
      </c>
      <c r="C21" s="59" t="s">
        <v>214</v>
      </c>
      <c r="D21" s="38" t="s">
        <v>115</v>
      </c>
      <c r="F21" s="38" t="s">
        <v>115</v>
      </c>
      <c r="H21" s="38" t="s">
        <v>218</v>
      </c>
      <c r="I21" s="60" t="s">
        <v>220</v>
      </c>
    </row>
    <row r="22">
      <c r="A22" s="38">
        <v>1.0</v>
      </c>
      <c r="B22" s="38">
        <v>1419.0</v>
      </c>
      <c r="C22" s="59" t="s">
        <v>225</v>
      </c>
      <c r="D22" s="38" t="s">
        <v>115</v>
      </c>
      <c r="H22" s="38" t="s">
        <v>218</v>
      </c>
      <c r="I22" s="38" t="s">
        <v>229</v>
      </c>
    </row>
    <row r="23">
      <c r="A23" s="38">
        <v>1.0</v>
      </c>
      <c r="B23" s="38">
        <v>1480.0</v>
      </c>
      <c r="C23" s="59" t="s">
        <v>233</v>
      </c>
      <c r="D23" s="38" t="s">
        <v>115</v>
      </c>
      <c r="H23" s="38" t="s">
        <v>218</v>
      </c>
      <c r="I23" s="38" t="s">
        <v>234</v>
      </c>
    </row>
    <row r="24">
      <c r="A24" s="38">
        <v>1.0</v>
      </c>
      <c r="B24" s="38">
        <v>1184.0</v>
      </c>
      <c r="C24" s="59" t="s">
        <v>238</v>
      </c>
      <c r="D24" s="38" t="s">
        <v>115</v>
      </c>
      <c r="H24" s="38" t="s">
        <v>218</v>
      </c>
      <c r="I24" s="38" t="s">
        <v>240</v>
      </c>
    </row>
    <row r="25">
      <c r="A25" s="38"/>
      <c r="B25" s="38"/>
      <c r="C25" s="59"/>
    </row>
    <row r="26">
      <c r="A26" s="38">
        <v>0.0</v>
      </c>
      <c r="B26" s="38" t="s">
        <v>245</v>
      </c>
      <c r="C26" s="59" t="s">
        <v>247</v>
      </c>
    </row>
    <row r="27">
      <c r="C27" s="65"/>
    </row>
    <row r="28">
      <c r="A28" s="71">
        <f>sum(A2:A27)</f>
        <v>23</v>
      </c>
      <c r="B28" s="72"/>
      <c r="C28" s="73"/>
      <c r="D28" s="72"/>
      <c r="E28" s="72"/>
      <c r="F28" s="72"/>
      <c r="G28" s="72"/>
      <c r="H28" s="72"/>
      <c r="I28" s="72"/>
      <c r="J28" s="72"/>
      <c r="K28" s="72"/>
      <c r="L28" s="72"/>
      <c r="M28" s="72"/>
    </row>
    <row r="29">
      <c r="A29" s="76" t="s">
        <v>293</v>
      </c>
      <c r="B29" s="72"/>
      <c r="C29" s="73"/>
      <c r="D29" s="72"/>
      <c r="E29" s="72"/>
      <c r="F29" s="72"/>
      <c r="G29" s="72"/>
      <c r="H29" s="72"/>
      <c r="I29" s="72"/>
      <c r="J29" s="72"/>
      <c r="K29" s="72"/>
      <c r="L29" s="72"/>
      <c r="M29" s="72"/>
    </row>
    <row r="30">
      <c r="A30" s="88" t="s">
        <v>123</v>
      </c>
      <c r="C30" s="65"/>
    </row>
    <row r="31">
      <c r="C31" s="65"/>
    </row>
  </sheetData>
  <hyperlinks>
    <hyperlink r:id="rId1" ref="A30"/>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2" width="6.25"/>
    <col customWidth="1" min="3" max="3" width="24.88"/>
    <col customWidth="1" min="4" max="5" width="4.25"/>
    <col customWidth="1" min="6" max="6" width="5.63"/>
    <col customWidth="1" min="7" max="7" width="4.63"/>
    <col customWidth="1" min="8" max="8" width="8.5"/>
    <col customWidth="1" min="9" max="9" width="13.38"/>
    <col customWidth="1" min="10" max="10" width="55.5"/>
    <col customWidth="1" min="11" max="11" width="3.38"/>
    <col customWidth="1" min="12" max="12" width="3.5"/>
    <col customWidth="1" min="13" max="13" width="3.63"/>
  </cols>
  <sheetData>
    <row r="1">
      <c r="A1" s="25" t="s">
        <v>35</v>
      </c>
      <c r="B1" s="25" t="s">
        <v>40</v>
      </c>
      <c r="C1" s="29" t="s">
        <v>2</v>
      </c>
      <c r="D1" s="23" t="s">
        <v>3</v>
      </c>
      <c r="E1" s="23" t="s">
        <v>60</v>
      </c>
      <c r="F1" s="23" t="s">
        <v>64</v>
      </c>
      <c r="G1" s="23" t="s">
        <v>62</v>
      </c>
      <c r="H1" s="23" t="s">
        <v>356</v>
      </c>
      <c r="I1" s="23" t="s">
        <v>57</v>
      </c>
      <c r="J1" s="23" t="s">
        <v>68</v>
      </c>
      <c r="K1" s="31"/>
      <c r="L1" s="31"/>
      <c r="M1" s="31"/>
    </row>
    <row r="2">
      <c r="A2" s="68">
        <v>1.0</v>
      </c>
      <c r="B2" s="90">
        <v>1121.0</v>
      </c>
      <c r="C2" s="91" t="s">
        <v>369</v>
      </c>
      <c r="D2" s="64"/>
      <c r="E2" s="64" t="s">
        <v>58</v>
      </c>
      <c r="F2" s="69"/>
      <c r="G2" s="69"/>
      <c r="H2" s="64" t="s">
        <v>58</v>
      </c>
      <c r="I2" s="69"/>
      <c r="J2" s="69"/>
      <c r="K2" s="69"/>
      <c r="L2" s="69"/>
      <c r="M2" s="69"/>
    </row>
    <row r="3">
      <c r="A3" s="68">
        <v>1.0</v>
      </c>
      <c r="B3" s="90">
        <v>1393.0</v>
      </c>
      <c r="C3" s="91" t="s">
        <v>379</v>
      </c>
      <c r="D3" s="64"/>
      <c r="E3" s="64" t="s">
        <v>58</v>
      </c>
      <c r="F3" s="69"/>
      <c r="G3" s="69"/>
      <c r="H3" s="64" t="s">
        <v>58</v>
      </c>
      <c r="I3" s="69"/>
      <c r="J3" s="69"/>
      <c r="K3" s="69"/>
      <c r="L3" s="69"/>
      <c r="M3" s="69"/>
    </row>
    <row r="4">
      <c r="A4" s="68">
        <v>1.0</v>
      </c>
      <c r="B4" s="90">
        <v>1331.0</v>
      </c>
      <c r="C4" s="91" t="s">
        <v>387</v>
      </c>
      <c r="D4" s="64"/>
      <c r="E4" s="64" t="s">
        <v>58</v>
      </c>
      <c r="F4" s="69"/>
      <c r="G4" s="69"/>
      <c r="H4" s="64" t="s">
        <v>58</v>
      </c>
      <c r="I4" s="69"/>
      <c r="J4" s="69"/>
      <c r="K4" s="69"/>
      <c r="L4" s="69"/>
      <c r="M4" s="69"/>
    </row>
    <row r="5">
      <c r="A5" s="68">
        <v>1.0</v>
      </c>
      <c r="B5" s="90">
        <v>1392.0</v>
      </c>
      <c r="C5" s="91" t="s">
        <v>389</v>
      </c>
      <c r="D5" s="64"/>
      <c r="E5" s="64" t="s">
        <v>58</v>
      </c>
      <c r="F5" s="69"/>
      <c r="G5" s="69"/>
      <c r="H5" s="64" t="s">
        <v>58</v>
      </c>
      <c r="I5" s="69"/>
      <c r="J5" s="69"/>
      <c r="K5" s="69"/>
      <c r="L5" s="69"/>
      <c r="M5" s="69"/>
    </row>
    <row r="6">
      <c r="A6" s="68">
        <v>1.0</v>
      </c>
      <c r="B6" s="90">
        <v>1295.0</v>
      </c>
      <c r="C6" s="91" t="s">
        <v>391</v>
      </c>
      <c r="D6" s="64"/>
      <c r="E6" s="64" t="s">
        <v>58</v>
      </c>
      <c r="F6" s="64" t="s">
        <v>186</v>
      </c>
      <c r="G6" s="69"/>
      <c r="H6" s="64" t="s">
        <v>58</v>
      </c>
      <c r="I6" s="69"/>
      <c r="J6" s="69"/>
      <c r="K6" s="69"/>
      <c r="L6" s="69"/>
      <c r="M6" s="69"/>
    </row>
    <row r="7">
      <c r="A7" s="68">
        <v>1.0</v>
      </c>
      <c r="B7" s="90">
        <v>1445.0</v>
      </c>
      <c r="C7" s="91" t="s">
        <v>395</v>
      </c>
      <c r="D7" s="64"/>
      <c r="E7" s="64" t="s">
        <v>58</v>
      </c>
      <c r="F7" s="69"/>
      <c r="G7" s="69"/>
      <c r="H7" s="64" t="s">
        <v>58</v>
      </c>
      <c r="I7" s="69"/>
      <c r="J7" s="69"/>
      <c r="K7" s="69"/>
      <c r="L7" s="69"/>
      <c r="M7" s="69"/>
    </row>
    <row r="8">
      <c r="A8" s="68">
        <v>1.0</v>
      </c>
      <c r="B8" s="90">
        <v>1960.0</v>
      </c>
      <c r="C8" s="91" t="s">
        <v>399</v>
      </c>
      <c r="D8" s="64"/>
      <c r="E8" s="64" t="s">
        <v>58</v>
      </c>
      <c r="F8" s="69"/>
      <c r="G8" s="69"/>
      <c r="H8" s="64" t="s">
        <v>58</v>
      </c>
      <c r="I8" s="69"/>
      <c r="J8" s="69"/>
      <c r="K8" s="69"/>
      <c r="L8" s="69"/>
      <c r="M8" s="69"/>
    </row>
    <row r="9">
      <c r="A9" s="68">
        <v>1.0</v>
      </c>
      <c r="B9" s="90">
        <v>1290.0</v>
      </c>
      <c r="C9" s="91" t="s">
        <v>405</v>
      </c>
      <c r="D9" s="64"/>
      <c r="E9" s="64" t="s">
        <v>58</v>
      </c>
      <c r="F9" s="64" t="s">
        <v>186</v>
      </c>
      <c r="G9" s="69"/>
      <c r="H9" s="64" t="s">
        <v>58</v>
      </c>
      <c r="I9" s="69"/>
      <c r="J9" s="69"/>
      <c r="K9" s="69"/>
      <c r="L9" s="69"/>
      <c r="M9" s="69"/>
    </row>
    <row r="10">
      <c r="A10" s="68">
        <v>1.0</v>
      </c>
      <c r="B10" s="90">
        <v>1321.0</v>
      </c>
      <c r="C10" s="91" t="s">
        <v>411</v>
      </c>
      <c r="D10" s="64"/>
      <c r="E10" s="64" t="s">
        <v>58</v>
      </c>
      <c r="F10" s="64" t="s">
        <v>186</v>
      </c>
      <c r="G10" s="69"/>
      <c r="H10" s="64" t="s">
        <v>58</v>
      </c>
      <c r="I10" s="69"/>
      <c r="J10" s="69"/>
      <c r="K10" s="69"/>
      <c r="L10" s="69"/>
      <c r="M10" s="69"/>
    </row>
    <row r="11">
      <c r="A11" s="68">
        <v>1.0</v>
      </c>
      <c r="B11" s="90">
        <v>1367.0</v>
      </c>
      <c r="C11" s="91" t="s">
        <v>419</v>
      </c>
      <c r="D11" s="64"/>
      <c r="E11" s="64" t="s">
        <v>58</v>
      </c>
      <c r="F11" s="69"/>
      <c r="G11" s="69"/>
      <c r="H11" s="64" t="s">
        <v>58</v>
      </c>
      <c r="I11" s="69"/>
      <c r="J11" s="69"/>
      <c r="K11" s="69"/>
      <c r="L11" s="69"/>
      <c r="M11" s="69"/>
    </row>
    <row r="12">
      <c r="A12" s="68">
        <v>1.0</v>
      </c>
      <c r="B12" s="90">
        <v>402.0</v>
      </c>
      <c r="C12" s="91" t="s">
        <v>429</v>
      </c>
      <c r="D12" s="64"/>
      <c r="E12" s="64" t="s">
        <v>58</v>
      </c>
      <c r="F12" s="69"/>
      <c r="G12" s="69"/>
      <c r="H12" s="64" t="s">
        <v>58</v>
      </c>
      <c r="I12" s="69"/>
      <c r="J12" s="69"/>
      <c r="K12" s="69"/>
      <c r="L12" s="69"/>
      <c r="M12" s="69"/>
    </row>
    <row r="13">
      <c r="A13" s="68">
        <v>1.0</v>
      </c>
      <c r="B13" s="90">
        <v>1398.0</v>
      </c>
      <c r="C13" s="91" t="s">
        <v>438</v>
      </c>
      <c r="D13" s="64"/>
      <c r="E13" s="64" t="s">
        <v>58</v>
      </c>
      <c r="F13" s="69"/>
      <c r="G13" s="69"/>
      <c r="H13" s="64" t="s">
        <v>58</v>
      </c>
      <c r="I13" s="69"/>
      <c r="J13" s="69"/>
      <c r="K13" s="69"/>
      <c r="L13" s="69"/>
      <c r="M13" s="69"/>
    </row>
    <row r="14">
      <c r="A14" s="68">
        <v>1.0</v>
      </c>
      <c r="B14" s="90">
        <v>1361.0</v>
      </c>
      <c r="C14" s="91" t="s">
        <v>447</v>
      </c>
      <c r="D14" s="64"/>
      <c r="E14" s="64" t="s">
        <v>58</v>
      </c>
      <c r="F14" s="69"/>
      <c r="G14" s="69"/>
      <c r="H14" s="64" t="s">
        <v>58</v>
      </c>
      <c r="I14" s="69"/>
      <c r="J14" s="69"/>
      <c r="K14" s="69"/>
      <c r="L14" s="69"/>
      <c r="M14" s="69"/>
    </row>
    <row r="15">
      <c r="A15" s="68">
        <v>1.0</v>
      </c>
      <c r="B15" s="90">
        <v>1124.0</v>
      </c>
      <c r="C15" s="91" t="s">
        <v>455</v>
      </c>
      <c r="D15" s="64"/>
      <c r="E15" s="64" t="s">
        <v>58</v>
      </c>
      <c r="F15" s="69"/>
      <c r="G15" s="69"/>
      <c r="H15" s="64" t="s">
        <v>58</v>
      </c>
      <c r="I15" s="69"/>
      <c r="J15" s="69"/>
      <c r="K15" s="69"/>
      <c r="L15" s="69"/>
      <c r="M15" s="69"/>
    </row>
    <row r="16">
      <c r="A16" s="68">
        <v>1.0</v>
      </c>
      <c r="B16" s="90">
        <v>1329.0</v>
      </c>
      <c r="C16" s="91" t="s">
        <v>463</v>
      </c>
      <c r="D16" s="64"/>
      <c r="E16" s="64" t="s">
        <v>58</v>
      </c>
      <c r="F16" s="69"/>
      <c r="G16" s="69"/>
      <c r="H16" s="64" t="s">
        <v>58</v>
      </c>
      <c r="I16" s="69"/>
      <c r="J16" s="69"/>
      <c r="K16" s="69"/>
      <c r="L16" s="69"/>
      <c r="M16" s="69"/>
    </row>
    <row r="17" ht="12.75" customHeight="1">
      <c r="A17" s="93">
        <v>1.0</v>
      </c>
      <c r="B17" s="93">
        <v>1150.0</v>
      </c>
      <c r="C17" s="95" t="s">
        <v>477</v>
      </c>
      <c r="D17" s="97" t="s">
        <v>218</v>
      </c>
      <c r="E17" s="99" t="s">
        <v>491</v>
      </c>
      <c r="F17" s="99" t="s">
        <v>494</v>
      </c>
      <c r="G17" s="99"/>
      <c r="H17" s="102"/>
      <c r="I17" s="99" t="s">
        <v>499</v>
      </c>
      <c r="J17" s="99" t="s">
        <v>500</v>
      </c>
      <c r="K17" s="105"/>
      <c r="L17" s="69"/>
      <c r="M17" s="102"/>
    </row>
    <row r="18">
      <c r="A18" s="68">
        <v>1.0</v>
      </c>
      <c r="B18" s="90">
        <v>1363.0</v>
      </c>
      <c r="C18" s="91" t="s">
        <v>505</v>
      </c>
      <c r="D18" s="64"/>
      <c r="E18" s="64" t="s">
        <v>58</v>
      </c>
      <c r="F18" s="69"/>
      <c r="G18" s="69"/>
      <c r="H18" s="64" t="s">
        <v>58</v>
      </c>
      <c r="I18" s="69"/>
      <c r="J18" s="69"/>
      <c r="K18" s="69"/>
      <c r="L18" s="69"/>
      <c r="M18" s="69"/>
    </row>
    <row r="19">
      <c r="A19" s="109"/>
      <c r="B19" s="109"/>
      <c r="C19" s="110"/>
      <c r="D19" s="69"/>
      <c r="E19" s="69"/>
      <c r="F19" s="69"/>
      <c r="G19" s="69"/>
      <c r="H19" s="69"/>
      <c r="I19" s="69"/>
      <c r="J19" s="69"/>
      <c r="K19" s="69"/>
      <c r="L19" s="69"/>
      <c r="M19" s="69"/>
    </row>
    <row r="20">
      <c r="A20" s="112">
        <f>sum(A2:A19)</f>
        <v>17</v>
      </c>
      <c r="B20" s="112"/>
      <c r="C20" s="113"/>
      <c r="D20" s="71"/>
      <c r="E20" s="71"/>
      <c r="F20" s="71"/>
      <c r="G20" s="71"/>
      <c r="H20" s="71"/>
      <c r="I20" s="71"/>
      <c r="J20" s="71"/>
      <c r="K20" s="71"/>
      <c r="L20" s="71"/>
      <c r="M20" s="71"/>
    </row>
    <row r="21">
      <c r="A21" s="114" t="s">
        <v>293</v>
      </c>
      <c r="B21" s="112"/>
      <c r="C21" s="113"/>
      <c r="D21" s="71"/>
      <c r="E21" s="71"/>
      <c r="F21" s="71"/>
      <c r="G21" s="71"/>
      <c r="H21" s="71"/>
      <c r="I21" s="71"/>
      <c r="J21" s="71"/>
      <c r="K21" s="71"/>
      <c r="L21" s="71"/>
      <c r="M21" s="71"/>
    </row>
    <row r="22">
      <c r="A22" s="117" t="s">
        <v>216</v>
      </c>
      <c r="B22" s="101"/>
      <c r="C22" s="65"/>
    </row>
    <row r="23">
      <c r="A23" s="101"/>
      <c r="B23" s="101"/>
      <c r="C23" s="65"/>
    </row>
  </sheetData>
  <hyperlinks>
    <hyperlink r:id="rId1" ref="A2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2" width="5.5"/>
    <col customWidth="1" min="3" max="3" width="0.75"/>
    <col customWidth="1" min="4" max="5" width="6.63"/>
    <col customWidth="1" min="6" max="6" width="11.38"/>
    <col customWidth="1" min="7" max="7" width="9.88"/>
    <col customWidth="1" min="8" max="8" width="12.38"/>
    <col customWidth="1" min="9" max="9" width="10.5"/>
    <col customWidth="1" min="10" max="10" width="10.13"/>
  </cols>
  <sheetData>
    <row r="1">
      <c r="A1" s="118" t="s">
        <v>625</v>
      </c>
      <c r="B1" s="118" t="s">
        <v>628</v>
      </c>
      <c r="C1" s="118"/>
      <c r="D1" s="118" t="s">
        <v>630</v>
      </c>
      <c r="E1" s="118" t="s">
        <v>632</v>
      </c>
      <c r="F1" s="118" t="s">
        <v>634</v>
      </c>
      <c r="G1" s="118" t="s">
        <v>635</v>
      </c>
      <c r="H1" s="119" t="s">
        <v>10</v>
      </c>
      <c r="I1" s="120" t="s">
        <v>641</v>
      </c>
      <c r="J1" s="120" t="s">
        <v>645</v>
      </c>
    </row>
    <row r="2">
      <c r="A2" s="122"/>
      <c r="B2" s="122"/>
      <c r="C2" s="122"/>
      <c r="D2" s="122"/>
      <c r="E2" s="122"/>
      <c r="F2" s="122"/>
      <c r="G2" s="122"/>
      <c r="H2" s="126" t="s">
        <v>654</v>
      </c>
      <c r="I2" s="127"/>
      <c r="J2" s="127"/>
    </row>
    <row r="3">
      <c r="A3" s="38">
        <v>-64.0</v>
      </c>
      <c r="B3" s="38">
        <v>99.0</v>
      </c>
      <c r="C3" s="128"/>
      <c r="D3" s="38">
        <v>-774.0</v>
      </c>
      <c r="E3" s="38">
        <v>157.0</v>
      </c>
      <c r="F3" s="38" t="s">
        <v>697</v>
      </c>
      <c r="G3" s="38" t="s">
        <v>699</v>
      </c>
      <c r="H3" s="130"/>
      <c r="I3" s="131"/>
      <c r="J3" s="131"/>
    </row>
    <row r="4">
      <c r="A4" s="38">
        <v>-774.0</v>
      </c>
      <c r="B4" s="38">
        <v>157.0</v>
      </c>
      <c r="C4" s="128"/>
      <c r="D4" s="38">
        <v>351.0</v>
      </c>
      <c r="E4" s="38">
        <v>768.0</v>
      </c>
      <c r="F4" s="38" t="s">
        <v>699</v>
      </c>
      <c r="G4" s="38" t="s">
        <v>705</v>
      </c>
      <c r="H4" s="130"/>
      <c r="I4" s="131"/>
      <c r="J4" s="131"/>
    </row>
    <row r="5">
      <c r="A5" s="38">
        <v>351.0</v>
      </c>
      <c r="B5" s="38">
        <v>768.0</v>
      </c>
      <c r="C5" s="128"/>
      <c r="D5" s="38">
        <v>165.0</v>
      </c>
      <c r="E5" s="38">
        <v>-78.0</v>
      </c>
      <c r="F5" s="38" t="s">
        <v>705</v>
      </c>
      <c r="G5" s="38" t="s">
        <v>710</v>
      </c>
      <c r="H5" s="130"/>
      <c r="I5" s="131"/>
      <c r="J5" s="131"/>
    </row>
    <row r="6">
      <c r="A6" s="38">
        <v>165.0</v>
      </c>
      <c r="B6" s="38">
        <v>-78.0</v>
      </c>
      <c r="C6" s="128"/>
      <c r="D6" s="38">
        <v>-147.0</v>
      </c>
      <c r="E6" s="38">
        <v>-172.0</v>
      </c>
      <c r="F6" s="38" t="s">
        <v>710</v>
      </c>
      <c r="G6" s="38" t="s">
        <v>714</v>
      </c>
      <c r="H6" s="130"/>
      <c r="I6" s="131"/>
      <c r="J6" s="131"/>
    </row>
    <row r="7">
      <c r="A7" s="38">
        <v>-147.0</v>
      </c>
      <c r="B7" s="38">
        <v>-172.0</v>
      </c>
      <c r="C7" s="128"/>
      <c r="D7" s="38">
        <v>-57.0</v>
      </c>
      <c r="E7" s="38">
        <v>-325.0</v>
      </c>
      <c r="F7" s="38" t="s">
        <v>714</v>
      </c>
      <c r="G7" s="38" t="s">
        <v>718</v>
      </c>
      <c r="H7" s="130"/>
      <c r="I7" s="131"/>
      <c r="J7" s="131"/>
    </row>
    <row r="8">
      <c r="A8" s="38">
        <v>-57.0</v>
      </c>
      <c r="B8" s="38">
        <v>-325.0</v>
      </c>
      <c r="C8" s="128"/>
      <c r="D8" s="38">
        <v>615.0</v>
      </c>
      <c r="E8" s="38">
        <v>114.0</v>
      </c>
      <c r="F8" s="38" t="s">
        <v>718</v>
      </c>
      <c r="G8" s="38" t="s">
        <v>720</v>
      </c>
      <c r="H8" s="130"/>
      <c r="I8" s="131"/>
      <c r="J8" s="131"/>
    </row>
    <row r="9">
      <c r="A9" s="38">
        <v>615.0</v>
      </c>
      <c r="B9" s="38">
        <v>114.0</v>
      </c>
      <c r="C9" s="128"/>
      <c r="D9" s="38">
        <v>-64.0</v>
      </c>
      <c r="E9" s="38">
        <v>99.0</v>
      </c>
      <c r="F9" s="38" t="s">
        <v>720</v>
      </c>
      <c r="G9" s="38" t="s">
        <v>697</v>
      </c>
      <c r="H9" s="137" t="s">
        <v>739</v>
      </c>
      <c r="I9" s="131"/>
      <c r="J9" s="131"/>
    </row>
    <row r="10">
      <c r="A10" s="122"/>
      <c r="B10" s="122"/>
      <c r="C10" s="122"/>
      <c r="D10" s="122"/>
      <c r="E10" s="122"/>
      <c r="F10" s="122"/>
      <c r="G10" s="122"/>
      <c r="H10" s="126" t="s">
        <v>750</v>
      </c>
      <c r="I10" s="127"/>
      <c r="J10" s="127"/>
    </row>
    <row r="11">
      <c r="A11" s="38">
        <v>231.0</v>
      </c>
      <c r="B11" s="38">
        <v>291.0</v>
      </c>
      <c r="C11" s="128"/>
      <c r="D11" s="38">
        <v>700.0</v>
      </c>
      <c r="E11" s="38">
        <v>-248.0</v>
      </c>
      <c r="F11" s="38" t="s">
        <v>756</v>
      </c>
      <c r="G11" s="38" t="s">
        <v>757</v>
      </c>
      <c r="I11" s="131">
        <v>1000257.0</v>
      </c>
      <c r="J11" s="138">
        <v>1000008.0</v>
      </c>
    </row>
    <row r="12">
      <c r="A12" s="38">
        <v>700.0</v>
      </c>
      <c r="B12" s="38">
        <v>-248.0</v>
      </c>
      <c r="C12" s="128"/>
      <c r="D12" s="38">
        <v>-62.0</v>
      </c>
      <c r="E12" s="38">
        <v>-675.0</v>
      </c>
      <c r="F12" s="38" t="s">
        <v>757</v>
      </c>
      <c r="G12" s="38" t="s">
        <v>766</v>
      </c>
      <c r="I12" s="131">
        <v>1000258.0</v>
      </c>
      <c r="J12" s="138">
        <v>1000009.0</v>
      </c>
    </row>
    <row r="13">
      <c r="A13" s="38">
        <v>-62.0</v>
      </c>
      <c r="B13" s="38">
        <v>-675.0</v>
      </c>
      <c r="C13" s="128"/>
      <c r="D13" s="38">
        <v>-560.0</v>
      </c>
      <c r="E13" s="38">
        <v>-586.0</v>
      </c>
      <c r="F13" s="38" t="s">
        <v>766</v>
      </c>
      <c r="G13" s="38" t="s">
        <v>785</v>
      </c>
      <c r="I13" s="131">
        <v>1000259.0</v>
      </c>
      <c r="J13" s="138">
        <v>1000010.0</v>
      </c>
    </row>
    <row r="14">
      <c r="A14" s="38">
        <v>-560.0</v>
      </c>
      <c r="B14" s="38">
        <v>-586.0</v>
      </c>
      <c r="C14" s="128"/>
      <c r="D14" s="38">
        <v>-514.0</v>
      </c>
      <c r="E14" s="38">
        <v>-176.0</v>
      </c>
      <c r="F14" s="38" t="s">
        <v>785</v>
      </c>
      <c r="G14" s="38" t="s">
        <v>804</v>
      </c>
      <c r="I14" s="131">
        <v>1000260.0</v>
      </c>
      <c r="J14" s="138">
        <v>1000011.0</v>
      </c>
    </row>
    <row r="15">
      <c r="A15" s="38">
        <v>-514.0</v>
      </c>
      <c r="B15" s="38">
        <v>-176.0</v>
      </c>
      <c r="C15" s="128"/>
      <c r="D15" s="38">
        <v>-579.0</v>
      </c>
      <c r="E15" s="38">
        <v>474.0</v>
      </c>
      <c r="F15" s="38" t="s">
        <v>804</v>
      </c>
      <c r="G15" s="44" t="s">
        <v>810</v>
      </c>
      <c r="I15" s="131">
        <v>1000261.0</v>
      </c>
      <c r="J15" s="138">
        <v>1000012.0</v>
      </c>
    </row>
    <row r="16">
      <c r="A16" s="38">
        <v>-579.0</v>
      </c>
      <c r="B16" s="38">
        <v>474.0</v>
      </c>
      <c r="C16" s="128"/>
      <c r="D16" s="38">
        <v>-596.0</v>
      </c>
      <c r="E16" s="38">
        <v>793.0</v>
      </c>
      <c r="F16" s="44" t="s">
        <v>810</v>
      </c>
      <c r="G16" s="38" t="s">
        <v>767</v>
      </c>
      <c r="I16" s="131">
        <v>1000262.0</v>
      </c>
      <c r="J16" s="138">
        <v>1000013.0</v>
      </c>
    </row>
    <row r="17">
      <c r="A17" s="38">
        <v>-596.0</v>
      </c>
      <c r="B17" s="38">
        <v>793.0</v>
      </c>
      <c r="C17" s="128"/>
      <c r="D17" s="38">
        <v>231.0</v>
      </c>
      <c r="E17" s="38">
        <v>291.0</v>
      </c>
      <c r="F17" s="38" t="s">
        <v>767</v>
      </c>
      <c r="G17" s="38" t="s">
        <v>756</v>
      </c>
      <c r="H17" s="137" t="s">
        <v>885</v>
      </c>
      <c r="I17" s="131">
        <v>1000263.0</v>
      </c>
      <c r="J17" s="138">
        <v>1000014.0</v>
      </c>
    </row>
    <row r="18">
      <c r="A18" s="122"/>
      <c r="B18" s="122"/>
      <c r="C18" s="122"/>
      <c r="D18" s="122"/>
      <c r="E18" s="122"/>
      <c r="F18" s="122"/>
      <c r="G18" s="122"/>
      <c r="H18" s="144"/>
      <c r="I18" s="127"/>
      <c r="J18" s="127"/>
    </row>
    <row r="19">
      <c r="H19" s="145" t="s">
        <v>899</v>
      </c>
      <c r="I19" s="131"/>
      <c r="J19" s="131"/>
    </row>
    <row r="20">
      <c r="H20" s="130"/>
      <c r="I20" s="131"/>
      <c r="J20" s="131"/>
    </row>
    <row r="21">
      <c r="H21" s="130"/>
      <c r="I21" s="131"/>
      <c r="J21" s="1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4.5"/>
    <col customWidth="1" min="2" max="2" width="13.25"/>
    <col customWidth="1" min="3" max="3" width="11.5"/>
    <col customWidth="1" min="4" max="4" width="51.88"/>
    <col customWidth="1" min="5" max="5" width="13.25"/>
  </cols>
  <sheetData>
    <row r="1">
      <c r="A1" s="132"/>
      <c r="B1" s="133" t="s">
        <v>719</v>
      </c>
      <c r="C1" s="133" t="s">
        <v>724</v>
      </c>
      <c r="D1" s="133" t="s">
        <v>10</v>
      </c>
      <c r="E1" s="132"/>
    </row>
    <row r="2">
      <c r="A2" s="134"/>
      <c r="B2" s="135" t="s">
        <v>728</v>
      </c>
      <c r="C2" s="135" t="s">
        <v>731</v>
      </c>
      <c r="D2" s="134"/>
      <c r="E2" s="134"/>
    </row>
    <row r="3">
      <c r="A3" s="134"/>
      <c r="B3" s="135" t="s">
        <v>734</v>
      </c>
      <c r="C3" s="136" t="s">
        <v>736</v>
      </c>
      <c r="D3" s="134"/>
      <c r="E3" s="134"/>
    </row>
    <row r="4">
      <c r="A4" s="134"/>
      <c r="B4" s="136" t="s">
        <v>741</v>
      </c>
      <c r="C4" s="136" t="s">
        <v>742</v>
      </c>
      <c r="D4" s="134"/>
      <c r="E4" s="134"/>
    </row>
    <row r="5">
      <c r="A5" s="134"/>
      <c r="B5" s="136" t="s">
        <v>710</v>
      </c>
      <c r="C5" s="136" t="s">
        <v>743</v>
      </c>
      <c r="D5" s="134"/>
      <c r="E5" s="134"/>
    </row>
    <row r="6">
      <c r="A6" s="134"/>
      <c r="B6" s="136" t="s">
        <v>747</v>
      </c>
      <c r="C6" s="136" t="s">
        <v>749</v>
      </c>
      <c r="D6" s="134"/>
      <c r="E6" s="134"/>
    </row>
    <row r="7">
      <c r="A7" s="134"/>
      <c r="B7" s="136" t="s">
        <v>720</v>
      </c>
      <c r="C7" s="136" t="s">
        <v>752</v>
      </c>
      <c r="D7" s="134"/>
      <c r="E7" s="134"/>
    </row>
    <row r="8">
      <c r="A8" s="134"/>
      <c r="B8" s="136" t="s">
        <v>705</v>
      </c>
      <c r="C8" s="136" t="s">
        <v>754</v>
      </c>
      <c r="D8" s="134"/>
      <c r="E8" s="134"/>
    </row>
    <row r="9">
      <c r="A9" s="134"/>
      <c r="B9" s="136" t="s">
        <v>758</v>
      </c>
      <c r="C9" s="136" t="s">
        <v>760</v>
      </c>
      <c r="D9" s="134"/>
      <c r="E9" s="134"/>
    </row>
    <row r="10">
      <c r="A10" s="134"/>
      <c r="B10" s="139" t="s">
        <v>761</v>
      </c>
      <c r="C10" s="139" t="s">
        <v>697</v>
      </c>
      <c r="D10" s="136"/>
      <c r="E10" s="139"/>
    </row>
    <row r="11">
      <c r="A11" s="134"/>
      <c r="B11" s="139" t="s">
        <v>767</v>
      </c>
      <c r="C11" s="139"/>
      <c r="D11" s="136"/>
      <c r="E11" s="139"/>
    </row>
    <row r="12">
      <c r="A12" s="134"/>
      <c r="B12" s="139" t="s">
        <v>773</v>
      </c>
      <c r="C12" s="139" t="s">
        <v>775</v>
      </c>
      <c r="D12" s="136" t="s">
        <v>776</v>
      </c>
      <c r="E12" s="139"/>
    </row>
    <row r="13">
      <c r="A13" s="134"/>
      <c r="B13" s="139" t="s">
        <v>779</v>
      </c>
      <c r="C13" s="141" t="s">
        <v>731</v>
      </c>
      <c r="D13" s="136" t="s">
        <v>786</v>
      </c>
      <c r="E13" s="139"/>
    </row>
    <row r="14">
      <c r="A14" s="134"/>
      <c r="B14" s="139" t="s">
        <v>787</v>
      </c>
      <c r="C14" s="139" t="s">
        <v>788</v>
      </c>
      <c r="D14" s="136" t="s">
        <v>789</v>
      </c>
      <c r="E14" s="139"/>
    </row>
    <row r="15">
      <c r="A15" s="134"/>
      <c r="B15" s="139" t="s">
        <v>792</v>
      </c>
      <c r="C15" s="139" t="s">
        <v>793</v>
      </c>
      <c r="D15" s="136" t="s">
        <v>795</v>
      </c>
      <c r="E15" s="139"/>
    </row>
    <row r="16">
      <c r="A16" s="134"/>
      <c r="B16" s="139" t="s">
        <v>797</v>
      </c>
      <c r="C16" s="139" t="s">
        <v>798</v>
      </c>
      <c r="D16" s="136" t="s">
        <v>800</v>
      </c>
      <c r="E16" s="139"/>
    </row>
    <row r="17">
      <c r="A17" s="134"/>
      <c r="B17" s="139" t="s">
        <v>803</v>
      </c>
      <c r="C17" s="139" t="s">
        <v>805</v>
      </c>
      <c r="D17" s="136" t="s">
        <v>806</v>
      </c>
      <c r="E17" s="139"/>
    </row>
    <row r="18">
      <c r="A18" s="134"/>
      <c r="B18" s="139" t="s">
        <v>807</v>
      </c>
      <c r="C18" s="139" t="s">
        <v>808</v>
      </c>
      <c r="D18" s="136" t="s">
        <v>812</v>
      </c>
      <c r="E18" s="139"/>
    </row>
    <row r="19">
      <c r="A19" s="134"/>
      <c r="B19" s="139" t="s">
        <v>814</v>
      </c>
      <c r="C19" s="139" t="s">
        <v>805</v>
      </c>
      <c r="D19" s="136" t="s">
        <v>816</v>
      </c>
      <c r="E19" s="139"/>
    </row>
    <row r="20">
      <c r="A20" s="134"/>
      <c r="B20" s="139" t="s">
        <v>817</v>
      </c>
      <c r="C20" s="139" t="s">
        <v>818</v>
      </c>
      <c r="D20" s="136" t="s">
        <v>820</v>
      </c>
      <c r="E20" s="139"/>
    </row>
    <row r="21">
      <c r="A21" s="134"/>
      <c r="B21" s="139" t="s">
        <v>823</v>
      </c>
      <c r="C21" s="139" t="s">
        <v>824</v>
      </c>
      <c r="D21" s="136" t="s">
        <v>825</v>
      </c>
      <c r="E21" s="139"/>
    </row>
    <row r="22">
      <c r="A22" s="134"/>
      <c r="B22" s="139" t="s">
        <v>826</v>
      </c>
      <c r="C22" s="139" t="s">
        <v>828</v>
      </c>
      <c r="D22" s="136" t="s">
        <v>830</v>
      </c>
      <c r="E22" s="139"/>
    </row>
    <row r="23">
      <c r="A23" s="134"/>
      <c r="B23" s="139" t="s">
        <v>831</v>
      </c>
      <c r="C23" s="139" t="s">
        <v>834</v>
      </c>
      <c r="D23" s="136" t="s">
        <v>835</v>
      </c>
      <c r="E23" s="139"/>
    </row>
    <row r="24">
      <c r="A24" s="134"/>
      <c r="B24" s="139" t="s">
        <v>838</v>
      </c>
      <c r="C24" s="139" t="s">
        <v>798</v>
      </c>
      <c r="D24" s="136" t="s">
        <v>840</v>
      </c>
      <c r="E24" s="139"/>
    </row>
    <row r="25">
      <c r="A25" s="134"/>
      <c r="B25" s="139" t="s">
        <v>15</v>
      </c>
      <c r="C25" s="139" t="s">
        <v>843</v>
      </c>
      <c r="D25" s="136" t="s">
        <v>844</v>
      </c>
      <c r="E25" s="139"/>
    </row>
    <row r="26">
      <c r="A26" s="134"/>
      <c r="B26" s="139" t="s">
        <v>846</v>
      </c>
      <c r="C26" s="139" t="s">
        <v>793</v>
      </c>
      <c r="D26" s="136" t="s">
        <v>847</v>
      </c>
      <c r="E26" s="139"/>
    </row>
    <row r="27">
      <c r="A27" s="134"/>
      <c r="B27" s="139" t="s">
        <v>849</v>
      </c>
      <c r="C27" s="139" t="s">
        <v>818</v>
      </c>
      <c r="D27" s="136" t="s">
        <v>852</v>
      </c>
      <c r="E27" s="139"/>
    </row>
    <row r="28">
      <c r="A28" s="134"/>
      <c r="B28" s="139" t="s">
        <v>853</v>
      </c>
      <c r="C28" s="139" t="s">
        <v>798</v>
      </c>
      <c r="D28" s="136" t="s">
        <v>855</v>
      </c>
      <c r="E28" s="139"/>
    </row>
    <row r="29">
      <c r="A29" s="134"/>
      <c r="B29" s="139" t="s">
        <v>856</v>
      </c>
      <c r="C29" s="139" t="s">
        <v>798</v>
      </c>
      <c r="D29" s="136" t="s">
        <v>857</v>
      </c>
      <c r="E29" s="139"/>
    </row>
    <row r="30">
      <c r="A30" s="134"/>
      <c r="B30" s="139" t="s">
        <v>858</v>
      </c>
      <c r="C30" s="139" t="s">
        <v>859</v>
      </c>
      <c r="D30" s="136" t="s">
        <v>861</v>
      </c>
      <c r="E30" s="139"/>
    </row>
    <row r="31">
      <c r="A31" s="134"/>
      <c r="B31" s="139" t="s">
        <v>863</v>
      </c>
      <c r="C31" s="139" t="s">
        <v>808</v>
      </c>
      <c r="D31" s="136" t="s">
        <v>866</v>
      </c>
      <c r="E31" s="139"/>
    </row>
    <row r="32">
      <c r="A32" s="134"/>
      <c r="B32" s="139" t="s">
        <v>869</v>
      </c>
      <c r="C32" s="139" t="s">
        <v>805</v>
      </c>
      <c r="D32" s="136" t="s">
        <v>871</v>
      </c>
      <c r="E32" s="139"/>
    </row>
    <row r="33">
      <c r="A33" s="134"/>
      <c r="B33" s="139" t="s">
        <v>874</v>
      </c>
      <c r="C33" s="139" t="s">
        <v>875</v>
      </c>
      <c r="D33" s="136" t="s">
        <v>877</v>
      </c>
      <c r="E33" s="139"/>
    </row>
    <row r="34">
      <c r="A34" s="134"/>
      <c r="B34" s="139" t="s">
        <v>878</v>
      </c>
      <c r="C34" s="139" t="s">
        <v>798</v>
      </c>
      <c r="D34" s="136" t="s">
        <v>880</v>
      </c>
      <c r="E34" s="139"/>
    </row>
    <row r="35">
      <c r="A35" s="134"/>
      <c r="B35" s="139" t="s">
        <v>883</v>
      </c>
      <c r="C35" s="139" t="s">
        <v>731</v>
      </c>
      <c r="D35" s="136" t="s">
        <v>886</v>
      </c>
      <c r="E35" s="139"/>
    </row>
    <row r="36">
      <c r="A36" s="134"/>
      <c r="B36" s="139" t="s">
        <v>887</v>
      </c>
      <c r="C36" s="139" t="s">
        <v>805</v>
      </c>
      <c r="D36" s="136" t="s">
        <v>890</v>
      </c>
      <c r="E36" s="139"/>
    </row>
    <row r="37">
      <c r="A37" s="134"/>
      <c r="B37" s="139" t="s">
        <v>891</v>
      </c>
      <c r="C37" s="139" t="s">
        <v>793</v>
      </c>
      <c r="D37" s="136" t="s">
        <v>892</v>
      </c>
      <c r="E37" s="139"/>
    </row>
    <row r="38">
      <c r="A38" s="134"/>
      <c r="B38" s="139" t="s">
        <v>894</v>
      </c>
      <c r="C38" s="139" t="s">
        <v>793</v>
      </c>
      <c r="D38" s="136" t="s">
        <v>897</v>
      </c>
      <c r="E38" s="139"/>
    </row>
    <row r="39">
      <c r="A39" s="134"/>
      <c r="B39" s="139" t="s">
        <v>900</v>
      </c>
      <c r="C39" s="139" t="s">
        <v>808</v>
      </c>
      <c r="D39" s="136" t="s">
        <v>901</v>
      </c>
      <c r="E39" s="139"/>
    </row>
    <row r="40">
      <c r="A40" s="134"/>
      <c r="B40" s="139" t="s">
        <v>902</v>
      </c>
      <c r="C40" s="139" t="s">
        <v>805</v>
      </c>
      <c r="D40" s="136" t="s">
        <v>905</v>
      </c>
      <c r="E40" s="139"/>
    </row>
    <row r="41">
      <c r="A41" s="134"/>
      <c r="B41" s="139" t="s">
        <v>907</v>
      </c>
      <c r="C41" s="139" t="s">
        <v>818</v>
      </c>
      <c r="D41" s="136" t="s">
        <v>908</v>
      </c>
      <c r="E41" s="139"/>
    </row>
    <row r="42">
      <c r="A42" s="134"/>
      <c r="B42" s="139" t="s">
        <v>912</v>
      </c>
      <c r="C42" s="139" t="s">
        <v>913</v>
      </c>
      <c r="D42" s="136" t="s">
        <v>915</v>
      </c>
      <c r="E42" s="139"/>
    </row>
    <row r="43">
      <c r="A43" s="134"/>
      <c r="B43" s="139" t="s">
        <v>916</v>
      </c>
      <c r="C43" s="139" t="s">
        <v>917</v>
      </c>
      <c r="D43" s="136" t="s">
        <v>919</v>
      </c>
      <c r="E43" s="139"/>
    </row>
    <row r="44">
      <c r="A44" s="134"/>
      <c r="B44" s="139" t="s">
        <v>921</v>
      </c>
      <c r="C44" s="139" t="s">
        <v>828</v>
      </c>
      <c r="D44" s="136" t="s">
        <v>924</v>
      </c>
      <c r="E44" s="139"/>
    </row>
    <row r="45">
      <c r="A45" s="134"/>
      <c r="B45" s="139" t="s">
        <v>925</v>
      </c>
      <c r="C45" s="139" t="s">
        <v>828</v>
      </c>
      <c r="D45" s="136" t="s">
        <v>927</v>
      </c>
      <c r="E45" s="139"/>
    </row>
    <row r="46">
      <c r="A46" s="134"/>
      <c r="B46" s="139" t="s">
        <v>929</v>
      </c>
      <c r="C46" s="139" t="s">
        <v>793</v>
      </c>
      <c r="D46" s="136" t="s">
        <v>931</v>
      </c>
      <c r="E46" s="139"/>
    </row>
    <row r="47">
      <c r="A47" s="134"/>
      <c r="B47" s="139" t="s">
        <v>932</v>
      </c>
      <c r="C47" s="139" t="s">
        <v>828</v>
      </c>
      <c r="D47" s="136" t="s">
        <v>933</v>
      </c>
      <c r="E47" s="139"/>
    </row>
    <row r="48">
      <c r="A48" s="134"/>
      <c r="B48" s="139" t="s">
        <v>938</v>
      </c>
      <c r="C48" s="139" t="s">
        <v>939</v>
      </c>
      <c r="D48" s="136" t="s">
        <v>940</v>
      </c>
      <c r="E48" s="139"/>
    </row>
    <row r="49">
      <c r="A49" s="134"/>
      <c r="B49" s="139" t="s">
        <v>941</v>
      </c>
      <c r="C49" s="139" t="s">
        <v>939</v>
      </c>
      <c r="D49" s="136" t="s">
        <v>943</v>
      </c>
      <c r="E49" s="139"/>
    </row>
    <row r="50">
      <c r="A50" s="134"/>
      <c r="B50" s="134"/>
      <c r="C50" s="134"/>
      <c r="D50" s="134"/>
      <c r="E50" s="134"/>
    </row>
    <row r="51">
      <c r="A51" s="134"/>
      <c r="B51" s="134"/>
      <c r="C51" s="134"/>
      <c r="D51" s="134"/>
      <c r="E51" s="134"/>
    </row>
    <row r="52">
      <c r="A52" s="134"/>
      <c r="B52" s="134"/>
      <c r="C52" s="134"/>
      <c r="D52" s="134"/>
      <c r="E52" s="13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sheetData>
    <row r="1">
      <c r="A1" s="38" t="s">
        <v>966</v>
      </c>
    </row>
    <row r="2">
      <c r="A2" s="38" t="s">
        <v>971</v>
      </c>
    </row>
    <row r="4">
      <c r="A4" s="38" t="s">
        <v>974</v>
      </c>
    </row>
    <row r="5">
      <c r="A5" s="38" t="s">
        <v>976</v>
      </c>
    </row>
    <row r="6">
      <c r="A6" s="38" t="s">
        <v>978</v>
      </c>
    </row>
    <row r="7">
      <c r="A7" s="38" t="s">
        <v>981</v>
      </c>
    </row>
    <row r="8">
      <c r="A8" s="38" t="s">
        <v>985</v>
      </c>
    </row>
    <row r="9">
      <c r="A9" s="38" t="s">
        <v>987</v>
      </c>
    </row>
    <row r="10">
      <c r="A10" s="38" t="s">
        <v>988</v>
      </c>
    </row>
    <row r="11">
      <c r="A11" s="38" t="s">
        <v>991</v>
      </c>
    </row>
    <row r="12">
      <c r="A12" s="38" t="s">
        <v>993</v>
      </c>
    </row>
    <row r="13">
      <c r="A13" s="38" t="s">
        <v>994</v>
      </c>
    </row>
    <row r="14">
      <c r="A14" s="38" t="s">
        <v>998</v>
      </c>
    </row>
    <row r="15">
      <c r="A15" s="38" t="s">
        <v>1174</v>
      </c>
    </row>
    <row r="16">
      <c r="A16" s="38" t="s">
        <v>1180</v>
      </c>
    </row>
    <row r="17">
      <c r="A17" s="38" t="s">
        <v>1182</v>
      </c>
    </row>
    <row r="18">
      <c r="A18" s="38" t="s">
        <v>1184</v>
      </c>
    </row>
    <row r="19">
      <c r="A19" s="38" t="s">
        <v>1188</v>
      </c>
    </row>
    <row r="20">
      <c r="A20" s="38" t="s">
        <v>1192</v>
      </c>
    </row>
    <row r="21">
      <c r="A21" s="38" t="s">
        <v>1195</v>
      </c>
    </row>
    <row r="22">
      <c r="A22" s="38" t="s">
        <v>1198</v>
      </c>
    </row>
    <row r="23">
      <c r="A23" s="38" t="s">
        <v>1199</v>
      </c>
    </row>
    <row r="24">
      <c r="A24" s="38" t="s">
        <v>1203</v>
      </c>
    </row>
    <row r="25">
      <c r="A25" s="38" t="s">
        <v>1207</v>
      </c>
    </row>
    <row r="26">
      <c r="A26" s="38" t="s">
        <v>1209</v>
      </c>
    </row>
    <row r="27">
      <c r="A27" s="38" t="s">
        <v>1210</v>
      </c>
    </row>
    <row r="28">
      <c r="A28" s="38" t="s">
        <v>1213</v>
      </c>
    </row>
    <row r="29">
      <c r="A29" s="38" t="s">
        <v>1214</v>
      </c>
    </row>
    <row r="30">
      <c r="A30" s="38" t="s">
        <v>1216</v>
      </c>
    </row>
    <row r="31">
      <c r="A31" s="38" t="s">
        <v>1220</v>
      </c>
    </row>
    <row r="32">
      <c r="A32" s="38" t="s">
        <v>1222</v>
      </c>
    </row>
    <row r="33">
      <c r="A33" s="38" t="s">
        <v>1223</v>
      </c>
    </row>
    <row r="34">
      <c r="A34" s="38" t="s">
        <v>1226</v>
      </c>
    </row>
    <row r="35">
      <c r="A35" s="38" t="s">
        <v>1228</v>
      </c>
    </row>
    <row r="36">
      <c r="A36" s="38" t="s">
        <v>1230</v>
      </c>
    </row>
    <row r="37">
      <c r="A37" s="38" t="s">
        <v>1233</v>
      </c>
    </row>
    <row r="38">
      <c r="A38" s="38" t="s">
        <v>1236</v>
      </c>
    </row>
    <row r="39">
      <c r="A39" s="38" t="s">
        <v>1237</v>
      </c>
    </row>
    <row r="40">
      <c r="A40" s="38" t="s">
        <v>1239</v>
      </c>
    </row>
    <row r="41">
      <c r="A41" s="38" t="s">
        <v>1241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28.0"/>
    <col customWidth="1" min="5" max="5" width="22.88"/>
  </cols>
  <sheetData>
    <row r="1">
      <c r="B1" s="158" t="s">
        <v>992</v>
      </c>
      <c r="C1" s="158" t="s">
        <v>997</v>
      </c>
      <c r="F1" s="158" t="s">
        <v>992</v>
      </c>
      <c r="G1" s="158" t="s">
        <v>997</v>
      </c>
    </row>
    <row r="2">
      <c r="A2" s="159" t="s">
        <v>1002</v>
      </c>
      <c r="B2" s="101"/>
      <c r="C2" s="101"/>
      <c r="E2" s="159" t="s">
        <v>1007</v>
      </c>
      <c r="G2" s="101"/>
    </row>
    <row r="3">
      <c r="A3" s="38" t="s">
        <v>697</v>
      </c>
      <c r="B3" s="160">
        <v>34801.0</v>
      </c>
      <c r="C3" s="160" t="s">
        <v>1011</v>
      </c>
      <c r="E3" s="38" t="s">
        <v>1012</v>
      </c>
      <c r="F3" s="38">
        <v>1000352.0</v>
      </c>
      <c r="G3" s="160" t="s">
        <v>1013</v>
      </c>
    </row>
    <row r="4">
      <c r="A4" s="38" t="s">
        <v>1014</v>
      </c>
      <c r="B4" s="160">
        <v>1000280.0</v>
      </c>
      <c r="C4" s="160" t="s">
        <v>1015</v>
      </c>
      <c r="E4" s="38" t="s">
        <v>1017</v>
      </c>
      <c r="F4" s="38">
        <v>1000358.0</v>
      </c>
      <c r="G4" s="160" t="s">
        <v>1019</v>
      </c>
    </row>
    <row r="5">
      <c r="A5" s="38" t="s">
        <v>1024</v>
      </c>
      <c r="B5" s="160">
        <v>1000281.0</v>
      </c>
      <c r="C5" s="160" t="s">
        <v>1025</v>
      </c>
      <c r="E5" s="38" t="s">
        <v>1026</v>
      </c>
      <c r="F5" s="38">
        <v>1000357.0</v>
      </c>
      <c r="G5" s="160" t="s">
        <v>1027</v>
      </c>
    </row>
    <row r="6">
      <c r="A6" s="38" t="s">
        <v>1030</v>
      </c>
      <c r="B6" s="160">
        <v>1000282.0</v>
      </c>
      <c r="C6" s="160" t="s">
        <v>1032</v>
      </c>
      <c r="E6" s="38" t="s">
        <v>1033</v>
      </c>
      <c r="F6" s="38">
        <v>1000356.0</v>
      </c>
      <c r="G6" s="160" t="s">
        <v>1034</v>
      </c>
    </row>
    <row r="7">
      <c r="B7" s="101"/>
      <c r="C7" s="101"/>
      <c r="E7" s="38" t="s">
        <v>1035</v>
      </c>
      <c r="F7" s="38">
        <v>1000355.0</v>
      </c>
      <c r="G7" s="160" t="s">
        <v>1038</v>
      </c>
    </row>
    <row r="8">
      <c r="A8" s="159" t="s">
        <v>1040</v>
      </c>
      <c r="B8" s="101"/>
      <c r="C8" s="101"/>
      <c r="E8" s="38" t="s">
        <v>1042</v>
      </c>
      <c r="F8" s="38">
        <v>1000353.0</v>
      </c>
      <c r="G8" s="160" t="s">
        <v>1043</v>
      </c>
    </row>
    <row r="9">
      <c r="A9" s="38" t="s">
        <v>1045</v>
      </c>
      <c r="B9" s="160">
        <v>1000283.0</v>
      </c>
      <c r="C9" s="160" t="s">
        <v>1049</v>
      </c>
      <c r="E9" s="38" t="s">
        <v>1050</v>
      </c>
      <c r="F9" s="38">
        <v>1000354.0</v>
      </c>
      <c r="G9" s="160" t="s">
        <v>1052</v>
      </c>
    </row>
    <row r="10">
      <c r="A10" s="38" t="s">
        <v>1053</v>
      </c>
      <c r="B10" s="160">
        <v>1000284.0</v>
      </c>
      <c r="C10" s="160" t="s">
        <v>1055</v>
      </c>
      <c r="G10" s="101"/>
    </row>
    <row r="11">
      <c r="A11" s="38" t="s">
        <v>1059</v>
      </c>
      <c r="B11" s="160">
        <v>1000337.0</v>
      </c>
      <c r="C11" s="160" t="s">
        <v>1060</v>
      </c>
      <c r="E11" s="159" t="s">
        <v>1061</v>
      </c>
      <c r="G11" s="101"/>
    </row>
    <row r="12">
      <c r="B12" s="101"/>
      <c r="C12" s="101"/>
      <c r="E12" s="38" t="s">
        <v>1066</v>
      </c>
      <c r="F12" s="38">
        <v>1000359.0</v>
      </c>
      <c r="G12" s="160" t="s">
        <v>1067</v>
      </c>
    </row>
    <row r="13">
      <c r="A13" s="159" t="s">
        <v>1068</v>
      </c>
      <c r="B13" s="101"/>
      <c r="C13" s="101"/>
      <c r="E13" s="38" t="s">
        <v>1071</v>
      </c>
      <c r="F13" s="38">
        <v>1000360.0</v>
      </c>
      <c r="G13" s="160" t="s">
        <v>1073</v>
      </c>
    </row>
    <row r="14">
      <c r="A14" s="38" t="s">
        <v>1074</v>
      </c>
      <c r="B14" s="160">
        <v>1000339.0</v>
      </c>
      <c r="C14" s="160" t="s">
        <v>1076</v>
      </c>
      <c r="E14" s="38" t="s">
        <v>1078</v>
      </c>
      <c r="F14" s="38">
        <v>1000362.0</v>
      </c>
      <c r="G14" s="160" t="s">
        <v>1079</v>
      </c>
    </row>
    <row r="15">
      <c r="A15" s="38" t="s">
        <v>1082</v>
      </c>
      <c r="B15" s="160">
        <v>1000338.0</v>
      </c>
      <c r="C15" s="160" t="s">
        <v>1085</v>
      </c>
      <c r="E15" s="38" t="s">
        <v>1087</v>
      </c>
      <c r="F15" s="38">
        <v>1000361.0</v>
      </c>
      <c r="G15" s="160" t="s">
        <v>1088</v>
      </c>
    </row>
    <row r="16">
      <c r="A16" s="38" t="s">
        <v>1091</v>
      </c>
      <c r="B16" s="160">
        <v>1000279.0</v>
      </c>
      <c r="C16" s="160" t="s">
        <v>1092</v>
      </c>
      <c r="G16" s="101"/>
    </row>
    <row r="17">
      <c r="A17" s="38" t="s">
        <v>1094</v>
      </c>
      <c r="B17" s="160">
        <v>1000278.0</v>
      </c>
      <c r="C17" s="160" t="s">
        <v>1096</v>
      </c>
      <c r="E17" s="159" t="s">
        <v>1098</v>
      </c>
      <c r="G17" s="101"/>
    </row>
    <row r="18">
      <c r="B18" s="101"/>
      <c r="C18" s="101"/>
      <c r="E18" s="38" t="s">
        <v>1100</v>
      </c>
      <c r="F18" s="38">
        <v>1000336.0</v>
      </c>
      <c r="G18" s="160" t="s">
        <v>1102</v>
      </c>
    </row>
    <row r="19">
      <c r="A19" s="159" t="s">
        <v>1106</v>
      </c>
      <c r="B19" s="101"/>
      <c r="C19" s="101"/>
      <c r="E19" s="38" t="s">
        <v>1107</v>
      </c>
      <c r="F19" s="38">
        <v>1000335.0</v>
      </c>
      <c r="G19" s="160" t="s">
        <v>1110</v>
      </c>
    </row>
    <row r="20">
      <c r="A20" s="38" t="s">
        <v>1111</v>
      </c>
      <c r="B20" s="160">
        <v>1000340.0</v>
      </c>
      <c r="C20" s="160" t="s">
        <v>1112</v>
      </c>
      <c r="E20" s="38" t="s">
        <v>1114</v>
      </c>
      <c r="F20" s="38">
        <v>1000334.0</v>
      </c>
      <c r="G20" s="160" t="s">
        <v>1116</v>
      </c>
    </row>
    <row r="21">
      <c r="A21" s="38" t="s">
        <v>1117</v>
      </c>
      <c r="B21" s="160">
        <v>1000341.0</v>
      </c>
      <c r="C21" s="160" t="s">
        <v>1118</v>
      </c>
      <c r="E21" s="38" t="s">
        <v>757</v>
      </c>
      <c r="F21" s="38">
        <v>1000333.0</v>
      </c>
      <c r="G21" s="160" t="s">
        <v>1120</v>
      </c>
    </row>
    <row r="22">
      <c r="A22" s="38" t="s">
        <v>1124</v>
      </c>
      <c r="B22" s="160">
        <v>1000342.0</v>
      </c>
      <c r="C22" s="160" t="s">
        <v>1126</v>
      </c>
      <c r="G22" s="101"/>
    </row>
    <row r="23">
      <c r="A23" s="38" t="s">
        <v>1127</v>
      </c>
      <c r="B23" s="160">
        <v>1000343.0</v>
      </c>
      <c r="C23" s="160" t="s">
        <v>1128</v>
      </c>
      <c r="E23" s="159" t="s">
        <v>1130</v>
      </c>
      <c r="G23" s="101"/>
    </row>
    <row r="24">
      <c r="A24" s="38" t="s">
        <v>1133</v>
      </c>
      <c r="B24" s="160">
        <v>1000344.0</v>
      </c>
      <c r="C24" s="160" t="s">
        <v>1135</v>
      </c>
      <c r="E24" s="38" t="s">
        <v>1137</v>
      </c>
      <c r="F24" s="38">
        <v>1000332.0</v>
      </c>
      <c r="G24" s="160" t="s">
        <v>1138</v>
      </c>
    </row>
    <row r="25">
      <c r="B25" s="101"/>
      <c r="C25" s="101"/>
      <c r="E25" s="38" t="s">
        <v>1142</v>
      </c>
      <c r="F25" s="38">
        <v>1000331.0</v>
      </c>
      <c r="G25" s="160" t="s">
        <v>1143</v>
      </c>
    </row>
    <row r="26">
      <c r="A26" s="159" t="s">
        <v>1144</v>
      </c>
      <c r="B26" s="101"/>
      <c r="C26" s="101"/>
      <c r="G26" s="101"/>
    </row>
    <row r="27">
      <c r="A27" s="38" t="s">
        <v>1148</v>
      </c>
      <c r="B27" s="160">
        <v>1000345.0</v>
      </c>
      <c r="C27" s="160" t="s">
        <v>1150</v>
      </c>
      <c r="E27" s="159" t="s">
        <v>1151</v>
      </c>
      <c r="G27" s="101"/>
    </row>
    <row r="28">
      <c r="A28" s="38" t="s">
        <v>1154</v>
      </c>
      <c r="B28" s="160">
        <v>1000346.0</v>
      </c>
      <c r="C28" s="160" t="s">
        <v>1155</v>
      </c>
      <c r="E28" s="38" t="s">
        <v>1157</v>
      </c>
      <c r="F28" s="38">
        <v>1000364.0</v>
      </c>
      <c r="G28" s="160" t="s">
        <v>1159</v>
      </c>
    </row>
    <row r="29">
      <c r="A29" s="38" t="s">
        <v>1161</v>
      </c>
      <c r="B29" s="160">
        <v>1000348.0</v>
      </c>
      <c r="C29" s="160" t="s">
        <v>1162</v>
      </c>
      <c r="E29" s="38" t="s">
        <v>1164</v>
      </c>
      <c r="F29" s="38">
        <v>1000363.0</v>
      </c>
      <c r="G29" s="160" t="s">
        <v>1167</v>
      </c>
    </row>
    <row r="30">
      <c r="A30" s="38" t="s">
        <v>1169</v>
      </c>
      <c r="B30" s="160">
        <v>1000347.0</v>
      </c>
      <c r="C30" s="160" t="s">
        <v>1171</v>
      </c>
      <c r="E30" s="38" t="s">
        <v>1172</v>
      </c>
      <c r="F30" s="38">
        <v>1000366.0</v>
      </c>
      <c r="G30" s="160" t="s">
        <v>1173</v>
      </c>
    </row>
    <row r="31">
      <c r="B31" s="101"/>
      <c r="C31" s="101"/>
      <c r="E31" s="38" t="s">
        <v>1175</v>
      </c>
      <c r="F31" s="38">
        <v>1000365.0</v>
      </c>
      <c r="G31" s="160" t="s">
        <v>1177</v>
      </c>
    </row>
    <row r="32">
      <c r="A32" s="159" t="s">
        <v>1179</v>
      </c>
      <c r="B32" s="101"/>
      <c r="C32" s="101"/>
    </row>
    <row r="33">
      <c r="A33" s="38" t="s">
        <v>1181</v>
      </c>
      <c r="B33" s="160">
        <v>1000350.0</v>
      </c>
      <c r="C33" s="160" t="s">
        <v>1183</v>
      </c>
      <c r="G33" s="101"/>
    </row>
    <row r="34">
      <c r="A34" s="38" t="s">
        <v>1185</v>
      </c>
      <c r="B34" s="160">
        <v>1000351.0</v>
      </c>
      <c r="C34" s="160" t="s">
        <v>1190</v>
      </c>
      <c r="G34" s="101"/>
    </row>
    <row r="35">
      <c r="A35" s="38" t="s">
        <v>1193</v>
      </c>
      <c r="B35" s="160">
        <v>1000349.0</v>
      </c>
      <c r="C35" s="160" t="s">
        <v>1194</v>
      </c>
      <c r="G35" s="101"/>
    </row>
    <row r="36">
      <c r="B36" s="101"/>
      <c r="C36" s="101"/>
      <c r="G36" s="101"/>
    </row>
    <row r="37">
      <c r="B37" s="101"/>
      <c r="C37" s="101"/>
      <c r="G37" s="101"/>
    </row>
    <row r="38">
      <c r="B38" s="101"/>
      <c r="C38" s="101"/>
      <c r="G38" s="101"/>
    </row>
    <row r="39">
      <c r="B39" s="101"/>
      <c r="C39" s="101"/>
      <c r="G39" s="101"/>
    </row>
    <row r="40">
      <c r="B40" s="101"/>
      <c r="C40" s="101"/>
      <c r="G40" s="101"/>
    </row>
    <row r="41">
      <c r="B41" s="101"/>
      <c r="C41" s="101"/>
      <c r="G41" s="101"/>
    </row>
    <row r="42">
      <c r="B42" s="101"/>
      <c r="C42" s="101"/>
      <c r="G42" s="101"/>
    </row>
    <row r="43">
      <c r="B43" s="101"/>
      <c r="C43" s="101"/>
      <c r="G43" s="101"/>
    </row>
    <row r="44">
      <c r="B44" s="101"/>
      <c r="C44" s="101"/>
      <c r="G44" s="101"/>
    </row>
    <row r="45">
      <c r="B45" s="101"/>
      <c r="C45" s="101"/>
      <c r="G45" s="101"/>
    </row>
    <row r="46">
      <c r="B46" s="101"/>
      <c r="C46" s="101"/>
      <c r="G46" s="101"/>
    </row>
    <row r="47">
      <c r="B47" s="101"/>
      <c r="C47" s="101"/>
      <c r="G47" s="101"/>
    </row>
    <row r="48">
      <c r="B48" s="101"/>
      <c r="C48" s="101"/>
      <c r="G48" s="101"/>
    </row>
    <row r="49">
      <c r="B49" s="101"/>
      <c r="C49" s="101"/>
      <c r="G49" s="101"/>
    </row>
    <row r="50">
      <c r="B50" s="101"/>
      <c r="C50" s="101"/>
      <c r="G50" s="101"/>
    </row>
    <row r="51">
      <c r="B51" s="101"/>
      <c r="C51" s="101"/>
      <c r="G51" s="101"/>
    </row>
    <row r="52">
      <c r="B52" s="101"/>
      <c r="C52" s="101"/>
      <c r="G52" s="101"/>
    </row>
    <row r="53">
      <c r="B53" s="101"/>
      <c r="C53" s="101"/>
      <c r="G53" s="101"/>
    </row>
    <row r="54">
      <c r="B54" s="101"/>
      <c r="C54" s="101"/>
      <c r="G54" s="101"/>
    </row>
    <row r="55">
      <c r="B55" s="101"/>
      <c r="C55" s="101"/>
      <c r="G55" s="101"/>
    </row>
    <row r="56">
      <c r="B56" s="101"/>
      <c r="C56" s="101"/>
      <c r="G56" s="101"/>
    </row>
    <row r="57">
      <c r="B57" s="101"/>
      <c r="C57" s="101"/>
      <c r="G57" s="101"/>
    </row>
    <row r="58">
      <c r="B58" s="101"/>
      <c r="C58" s="101"/>
      <c r="G58" s="101"/>
    </row>
    <row r="59">
      <c r="B59" s="101"/>
      <c r="C59" s="101"/>
      <c r="G59" s="101"/>
    </row>
    <row r="60">
      <c r="B60" s="101"/>
      <c r="C60" s="101"/>
      <c r="G60" s="101"/>
    </row>
    <row r="61">
      <c r="B61" s="101"/>
      <c r="C61" s="101"/>
      <c r="G61" s="101"/>
    </row>
    <row r="62">
      <c r="B62" s="101"/>
      <c r="C62" s="101"/>
      <c r="G62" s="101"/>
    </row>
    <row r="63">
      <c r="B63" s="101"/>
      <c r="C63" s="101"/>
      <c r="G63" s="101"/>
    </row>
    <row r="64">
      <c r="B64" s="101"/>
      <c r="C64" s="101"/>
      <c r="G64" s="101"/>
    </row>
    <row r="65">
      <c r="B65" s="101"/>
      <c r="C65" s="101"/>
      <c r="G65" s="101"/>
    </row>
    <row r="66">
      <c r="B66" s="101"/>
      <c r="C66" s="101"/>
      <c r="G66" s="101"/>
    </row>
    <row r="67">
      <c r="B67" s="101"/>
      <c r="C67" s="101"/>
      <c r="G67" s="101"/>
    </row>
    <row r="68">
      <c r="B68" s="101"/>
      <c r="C68" s="101"/>
      <c r="G68" s="101"/>
    </row>
    <row r="69">
      <c r="B69" s="101"/>
      <c r="C69" s="101"/>
      <c r="G69" s="101"/>
    </row>
    <row r="70">
      <c r="B70" s="101"/>
      <c r="C70" s="101"/>
      <c r="G70" s="101"/>
    </row>
    <row r="71">
      <c r="B71" s="101"/>
      <c r="C71" s="101"/>
      <c r="G71" s="101"/>
    </row>
    <row r="72">
      <c r="B72" s="101"/>
      <c r="C72" s="101"/>
      <c r="G72" s="101"/>
    </row>
    <row r="73">
      <c r="B73" s="101"/>
      <c r="C73" s="101"/>
      <c r="G73" s="101"/>
    </row>
    <row r="74">
      <c r="B74" s="101"/>
      <c r="C74" s="101"/>
      <c r="G74" s="101"/>
    </row>
    <row r="75">
      <c r="B75" s="101"/>
      <c r="C75" s="101"/>
      <c r="G75" s="101"/>
    </row>
    <row r="76">
      <c r="B76" s="101"/>
      <c r="C76" s="101"/>
      <c r="G76" s="101"/>
    </row>
    <row r="77">
      <c r="B77" s="101"/>
      <c r="C77" s="101"/>
      <c r="G77" s="101"/>
    </row>
    <row r="78">
      <c r="B78" s="101"/>
      <c r="C78" s="101"/>
      <c r="G78" s="101"/>
    </row>
    <row r="79">
      <c r="B79" s="101"/>
      <c r="C79" s="101"/>
      <c r="G79" s="101"/>
    </row>
    <row r="80">
      <c r="B80" s="101"/>
      <c r="C80" s="101"/>
      <c r="G80" s="101"/>
    </row>
    <row r="81">
      <c r="B81" s="101"/>
      <c r="C81" s="101"/>
      <c r="G81" s="101"/>
    </row>
    <row r="82">
      <c r="B82" s="101"/>
      <c r="C82" s="101"/>
      <c r="G82" s="101"/>
    </row>
    <row r="83">
      <c r="B83" s="101"/>
      <c r="C83" s="101"/>
      <c r="G83" s="101"/>
    </row>
    <row r="84">
      <c r="B84" s="101"/>
      <c r="C84" s="101"/>
      <c r="G84" s="101"/>
    </row>
    <row r="85">
      <c r="B85" s="101"/>
      <c r="C85" s="101"/>
      <c r="G85" s="101"/>
    </row>
    <row r="86">
      <c r="B86" s="101"/>
      <c r="C86" s="101"/>
      <c r="G86" s="101"/>
    </row>
    <row r="87">
      <c r="B87" s="101"/>
      <c r="C87" s="101"/>
      <c r="G87" s="101"/>
    </row>
    <row r="88">
      <c r="B88" s="101"/>
      <c r="C88" s="101"/>
      <c r="G88" s="101"/>
    </row>
    <row r="89">
      <c r="B89" s="101"/>
      <c r="C89" s="101"/>
      <c r="G89" s="101"/>
    </row>
    <row r="90">
      <c r="B90" s="101"/>
      <c r="C90" s="101"/>
      <c r="G90" s="101"/>
    </row>
    <row r="91">
      <c r="B91" s="101"/>
      <c r="C91" s="101"/>
      <c r="G91" s="101"/>
    </row>
    <row r="92">
      <c r="B92" s="101"/>
      <c r="C92" s="101"/>
      <c r="G92" s="101"/>
    </row>
    <row r="93">
      <c r="B93" s="101"/>
      <c r="C93" s="101"/>
      <c r="G93" s="101"/>
    </row>
    <row r="94">
      <c r="B94" s="101"/>
      <c r="C94" s="101"/>
      <c r="G94" s="101"/>
    </row>
    <row r="95">
      <c r="B95" s="101"/>
      <c r="C95" s="101"/>
      <c r="G95" s="101"/>
    </row>
    <row r="96">
      <c r="B96" s="101"/>
      <c r="C96" s="101"/>
      <c r="G96" s="101"/>
    </row>
    <row r="97">
      <c r="B97" s="101"/>
      <c r="C97" s="101"/>
      <c r="G97" s="101"/>
    </row>
    <row r="98">
      <c r="B98" s="101"/>
      <c r="C98" s="101"/>
      <c r="G98" s="101"/>
    </row>
    <row r="99">
      <c r="B99" s="101"/>
      <c r="C99" s="101"/>
      <c r="G99" s="101"/>
    </row>
    <row r="100">
      <c r="B100" s="101"/>
      <c r="C100" s="101"/>
      <c r="G100" s="101"/>
    </row>
    <row r="101">
      <c r="B101" s="101"/>
      <c r="C101" s="101"/>
      <c r="G101" s="101"/>
    </row>
    <row r="102">
      <c r="B102" s="101"/>
      <c r="C102" s="101"/>
      <c r="G102" s="101"/>
    </row>
    <row r="103">
      <c r="B103" s="101"/>
      <c r="C103" s="101"/>
      <c r="G103" s="101"/>
    </row>
    <row r="104">
      <c r="B104" s="101"/>
      <c r="C104" s="101"/>
      <c r="G104" s="101"/>
    </row>
    <row r="105">
      <c r="B105" s="101"/>
      <c r="C105" s="101"/>
      <c r="G105" s="101"/>
    </row>
    <row r="106">
      <c r="B106" s="101"/>
      <c r="C106" s="101"/>
      <c r="G106" s="101"/>
    </row>
    <row r="107">
      <c r="B107" s="101"/>
      <c r="C107" s="101"/>
      <c r="G107" s="101"/>
    </row>
    <row r="108">
      <c r="B108" s="101"/>
      <c r="C108" s="101"/>
      <c r="G108" s="101"/>
    </row>
    <row r="109">
      <c r="B109" s="101"/>
      <c r="C109" s="101"/>
      <c r="G109" s="101"/>
    </row>
    <row r="110">
      <c r="B110" s="101"/>
      <c r="C110" s="101"/>
      <c r="G110" s="101"/>
    </row>
    <row r="111">
      <c r="B111" s="101"/>
      <c r="C111" s="101"/>
      <c r="G111" s="101"/>
    </row>
    <row r="112">
      <c r="B112" s="101"/>
      <c r="C112" s="101"/>
      <c r="G112" s="101"/>
    </row>
    <row r="113">
      <c r="B113" s="101"/>
      <c r="C113" s="101"/>
      <c r="G113" s="101"/>
    </row>
    <row r="114">
      <c r="B114" s="101"/>
      <c r="C114" s="101"/>
      <c r="G114" s="101"/>
    </row>
    <row r="115">
      <c r="B115" s="101"/>
      <c r="C115" s="101"/>
      <c r="G115" s="101"/>
    </row>
    <row r="116">
      <c r="B116" s="101"/>
      <c r="C116" s="101"/>
      <c r="G116" s="101"/>
    </row>
    <row r="117">
      <c r="B117" s="101"/>
      <c r="C117" s="101"/>
      <c r="G117" s="101"/>
    </row>
    <row r="118">
      <c r="B118" s="101"/>
      <c r="C118" s="101"/>
      <c r="G118" s="101"/>
    </row>
    <row r="119">
      <c r="B119" s="101"/>
      <c r="C119" s="101"/>
      <c r="G119" s="101"/>
    </row>
    <row r="120">
      <c r="B120" s="101"/>
      <c r="C120" s="101"/>
      <c r="G120" s="101"/>
    </row>
    <row r="121">
      <c r="B121" s="101"/>
      <c r="C121" s="101"/>
      <c r="G121" s="101"/>
    </row>
    <row r="122">
      <c r="B122" s="101"/>
      <c r="C122" s="101"/>
      <c r="G122" s="101"/>
    </row>
    <row r="123">
      <c r="B123" s="101"/>
      <c r="C123" s="101"/>
      <c r="G123" s="101"/>
    </row>
    <row r="124">
      <c r="B124" s="101"/>
      <c r="C124" s="101"/>
      <c r="G124" s="101"/>
    </row>
    <row r="125">
      <c r="B125" s="101"/>
      <c r="C125" s="101"/>
      <c r="G125" s="101"/>
    </row>
    <row r="126">
      <c r="B126" s="101"/>
      <c r="C126" s="101"/>
      <c r="G126" s="101"/>
    </row>
    <row r="127">
      <c r="B127" s="101"/>
      <c r="C127" s="101"/>
      <c r="G127" s="101"/>
    </row>
    <row r="128">
      <c r="B128" s="101"/>
      <c r="C128" s="101"/>
      <c r="G128" s="101"/>
    </row>
    <row r="129">
      <c r="B129" s="101"/>
      <c r="C129" s="101"/>
      <c r="G129" s="101"/>
    </row>
    <row r="130">
      <c r="B130" s="101"/>
      <c r="C130" s="101"/>
      <c r="G130" s="101"/>
    </row>
    <row r="131">
      <c r="B131" s="101"/>
      <c r="C131" s="101"/>
      <c r="G131" s="101"/>
    </row>
    <row r="132">
      <c r="B132" s="101"/>
      <c r="C132" s="101"/>
      <c r="G132" s="101"/>
    </row>
    <row r="133">
      <c r="B133" s="101"/>
      <c r="C133" s="101"/>
      <c r="G133" s="101"/>
    </row>
    <row r="134">
      <c r="B134" s="101"/>
      <c r="C134" s="101"/>
      <c r="G134" s="101"/>
    </row>
    <row r="135">
      <c r="B135" s="101"/>
      <c r="C135" s="101"/>
      <c r="G135" s="101"/>
    </row>
    <row r="136">
      <c r="B136" s="101"/>
      <c r="C136" s="101"/>
      <c r="G136" s="101"/>
    </row>
    <row r="137">
      <c r="B137" s="101"/>
      <c r="C137" s="101"/>
      <c r="G137" s="101"/>
    </row>
    <row r="138">
      <c r="B138" s="101"/>
      <c r="C138" s="101"/>
      <c r="G138" s="101"/>
    </row>
    <row r="139">
      <c r="B139" s="101"/>
      <c r="C139" s="101"/>
      <c r="G139" s="101"/>
    </row>
    <row r="140">
      <c r="B140" s="101"/>
      <c r="C140" s="101"/>
      <c r="G140" s="101"/>
    </row>
    <row r="141">
      <c r="B141" s="101"/>
      <c r="C141" s="101"/>
      <c r="G141" s="101"/>
    </row>
    <row r="142">
      <c r="B142" s="101"/>
      <c r="C142" s="101"/>
      <c r="G142" s="101"/>
    </row>
    <row r="143">
      <c r="B143" s="101"/>
      <c r="C143" s="101"/>
      <c r="G143" s="101"/>
    </row>
    <row r="144">
      <c r="B144" s="101"/>
      <c r="C144" s="101"/>
      <c r="G144" s="101"/>
    </row>
    <row r="145">
      <c r="B145" s="101"/>
      <c r="C145" s="101"/>
      <c r="G145" s="101"/>
    </row>
    <row r="146">
      <c r="B146" s="101"/>
      <c r="C146" s="101"/>
      <c r="G146" s="101"/>
    </row>
    <row r="147">
      <c r="B147" s="101"/>
      <c r="C147" s="101"/>
      <c r="G147" s="101"/>
    </row>
    <row r="148">
      <c r="B148" s="101"/>
      <c r="C148" s="101"/>
      <c r="G148" s="101"/>
    </row>
    <row r="149">
      <c r="B149" s="101"/>
      <c r="C149" s="101"/>
      <c r="G149" s="101"/>
    </row>
    <row r="150">
      <c r="B150" s="101"/>
      <c r="C150" s="101"/>
      <c r="G150" s="101"/>
    </row>
    <row r="151">
      <c r="B151" s="101"/>
      <c r="C151" s="101"/>
      <c r="G151" s="101"/>
    </row>
    <row r="152">
      <c r="B152" s="101"/>
      <c r="C152" s="101"/>
      <c r="G152" s="101"/>
    </row>
    <row r="153">
      <c r="B153" s="101"/>
      <c r="C153" s="101"/>
      <c r="G153" s="101"/>
    </row>
    <row r="154">
      <c r="B154" s="101"/>
      <c r="C154" s="101"/>
      <c r="G154" s="101"/>
    </row>
    <row r="155">
      <c r="B155" s="101"/>
      <c r="C155" s="101"/>
      <c r="G155" s="101"/>
    </row>
    <row r="156">
      <c r="B156" s="101"/>
      <c r="C156" s="101"/>
      <c r="G156" s="101"/>
    </row>
    <row r="157">
      <c r="B157" s="101"/>
      <c r="C157" s="101"/>
      <c r="G157" s="101"/>
    </row>
    <row r="158">
      <c r="B158" s="101"/>
      <c r="C158" s="101"/>
      <c r="G158" s="101"/>
    </row>
    <row r="159">
      <c r="B159" s="101"/>
      <c r="C159" s="101"/>
      <c r="G159" s="101"/>
    </row>
    <row r="160">
      <c r="B160" s="101"/>
      <c r="C160" s="101"/>
      <c r="G160" s="101"/>
    </row>
    <row r="161">
      <c r="B161" s="101"/>
      <c r="C161" s="101"/>
      <c r="G161" s="101"/>
    </row>
    <row r="162">
      <c r="B162" s="101"/>
      <c r="C162" s="101"/>
      <c r="G162" s="101"/>
    </row>
    <row r="163">
      <c r="B163" s="101"/>
      <c r="C163" s="101"/>
      <c r="G163" s="101"/>
    </row>
    <row r="164">
      <c r="B164" s="101"/>
      <c r="C164" s="101"/>
      <c r="G164" s="101"/>
    </row>
    <row r="165">
      <c r="B165" s="101"/>
      <c r="C165" s="101"/>
      <c r="G165" s="101"/>
    </row>
    <row r="166">
      <c r="B166" s="101"/>
      <c r="C166" s="101"/>
      <c r="G166" s="101"/>
    </row>
    <row r="167">
      <c r="B167" s="101"/>
      <c r="C167" s="101"/>
      <c r="G167" s="101"/>
    </row>
    <row r="168">
      <c r="B168" s="101"/>
      <c r="C168" s="101"/>
      <c r="G168" s="101"/>
    </row>
    <row r="169">
      <c r="B169" s="101"/>
      <c r="C169" s="101"/>
      <c r="G169" s="101"/>
    </row>
    <row r="170">
      <c r="B170" s="101"/>
      <c r="C170" s="101"/>
      <c r="G170" s="101"/>
    </row>
    <row r="171">
      <c r="B171" s="101"/>
      <c r="C171" s="101"/>
      <c r="G171" s="101"/>
    </row>
    <row r="172">
      <c r="B172" s="101"/>
      <c r="C172" s="101"/>
      <c r="G172" s="101"/>
    </row>
    <row r="173">
      <c r="B173" s="101"/>
      <c r="C173" s="101"/>
      <c r="G173" s="101"/>
    </row>
    <row r="174">
      <c r="B174" s="101"/>
      <c r="C174" s="101"/>
      <c r="G174" s="101"/>
    </row>
    <row r="175">
      <c r="B175" s="101"/>
      <c r="C175" s="101"/>
      <c r="G175" s="101"/>
    </row>
    <row r="176">
      <c r="B176" s="101"/>
      <c r="C176" s="101"/>
      <c r="G176" s="101"/>
    </row>
    <row r="177">
      <c r="B177" s="101"/>
      <c r="C177" s="101"/>
      <c r="G177" s="101"/>
    </row>
    <row r="178">
      <c r="B178" s="101"/>
      <c r="C178" s="101"/>
      <c r="G178" s="101"/>
    </row>
    <row r="179">
      <c r="B179" s="101"/>
      <c r="C179" s="101"/>
      <c r="G179" s="101"/>
    </row>
    <row r="180">
      <c r="B180" s="101"/>
      <c r="C180" s="101"/>
      <c r="G180" s="101"/>
    </row>
    <row r="181">
      <c r="B181" s="101"/>
      <c r="C181" s="101"/>
      <c r="G181" s="101"/>
    </row>
    <row r="182">
      <c r="B182" s="101"/>
      <c r="C182" s="101"/>
      <c r="G182" s="101"/>
    </row>
    <row r="183">
      <c r="B183" s="101"/>
      <c r="C183" s="101"/>
      <c r="G183" s="101"/>
    </row>
    <row r="184">
      <c r="B184" s="101"/>
      <c r="C184" s="101"/>
      <c r="G184" s="101"/>
    </row>
    <row r="185">
      <c r="B185" s="101"/>
      <c r="C185" s="101"/>
      <c r="G185" s="101"/>
    </row>
    <row r="186">
      <c r="B186" s="101"/>
      <c r="C186" s="101"/>
      <c r="G186" s="101"/>
    </row>
    <row r="187">
      <c r="B187" s="101"/>
      <c r="C187" s="101"/>
      <c r="G187" s="101"/>
    </row>
    <row r="188">
      <c r="B188" s="101"/>
      <c r="C188" s="101"/>
      <c r="G188" s="101"/>
    </row>
    <row r="189">
      <c r="B189" s="101"/>
      <c r="C189" s="101"/>
      <c r="G189" s="101"/>
    </row>
    <row r="190">
      <c r="B190" s="101"/>
      <c r="C190" s="101"/>
      <c r="G190" s="101"/>
    </row>
    <row r="191">
      <c r="B191" s="101"/>
      <c r="C191" s="101"/>
      <c r="G191" s="101"/>
    </row>
    <row r="192">
      <c r="B192" s="101"/>
      <c r="C192" s="101"/>
      <c r="G192" s="101"/>
    </row>
    <row r="193">
      <c r="B193" s="101"/>
      <c r="C193" s="101"/>
      <c r="G193" s="101"/>
    </row>
    <row r="194">
      <c r="B194" s="101"/>
      <c r="C194" s="101"/>
      <c r="G194" s="101"/>
    </row>
    <row r="195">
      <c r="B195" s="101"/>
      <c r="C195" s="101"/>
      <c r="G195" s="101"/>
    </row>
    <row r="196">
      <c r="B196" s="101"/>
      <c r="C196" s="101"/>
      <c r="G196" s="101"/>
    </row>
    <row r="197">
      <c r="B197" s="101"/>
      <c r="C197" s="101"/>
      <c r="G197" s="101"/>
    </row>
    <row r="198">
      <c r="B198" s="101"/>
      <c r="C198" s="101"/>
      <c r="G198" s="101"/>
    </row>
    <row r="199">
      <c r="B199" s="101"/>
      <c r="C199" s="101"/>
      <c r="G199" s="101"/>
    </row>
    <row r="200">
      <c r="B200" s="101"/>
      <c r="C200" s="101"/>
      <c r="G200" s="101"/>
    </row>
    <row r="201">
      <c r="B201" s="101"/>
      <c r="C201" s="101"/>
      <c r="G201" s="101"/>
    </row>
    <row r="202">
      <c r="B202" s="101"/>
      <c r="C202" s="101"/>
      <c r="G202" s="101"/>
    </row>
    <row r="203">
      <c r="B203" s="101"/>
      <c r="C203" s="101"/>
      <c r="G203" s="101"/>
    </row>
    <row r="204">
      <c r="B204" s="101"/>
      <c r="C204" s="101"/>
      <c r="G204" s="101"/>
    </row>
    <row r="205">
      <c r="B205" s="101"/>
      <c r="C205" s="101"/>
      <c r="G205" s="101"/>
    </row>
    <row r="206">
      <c r="B206" s="101"/>
      <c r="C206" s="101"/>
      <c r="G206" s="101"/>
    </row>
    <row r="207">
      <c r="B207" s="101"/>
      <c r="C207" s="101"/>
      <c r="G207" s="101"/>
    </row>
    <row r="208">
      <c r="B208" s="101"/>
      <c r="C208" s="101"/>
      <c r="G208" s="101"/>
    </row>
    <row r="209">
      <c r="B209" s="101"/>
      <c r="C209" s="101"/>
      <c r="G209" s="101"/>
    </row>
    <row r="210">
      <c r="B210" s="101"/>
      <c r="C210" s="101"/>
      <c r="G210" s="101"/>
    </row>
    <row r="211">
      <c r="B211" s="101"/>
      <c r="C211" s="101"/>
      <c r="G211" s="101"/>
    </row>
    <row r="212">
      <c r="B212" s="101"/>
      <c r="C212" s="101"/>
      <c r="G212" s="101"/>
    </row>
    <row r="213">
      <c r="B213" s="101"/>
      <c r="C213" s="101"/>
      <c r="G213" s="101"/>
    </row>
    <row r="214">
      <c r="B214" s="101"/>
      <c r="C214" s="101"/>
      <c r="G214" s="101"/>
    </row>
    <row r="215">
      <c r="B215" s="101"/>
      <c r="C215" s="101"/>
      <c r="G215" s="101"/>
    </row>
    <row r="216">
      <c r="B216" s="101"/>
      <c r="C216" s="101"/>
      <c r="G216" s="101"/>
    </row>
    <row r="217">
      <c r="B217" s="101"/>
      <c r="C217" s="101"/>
      <c r="G217" s="101"/>
    </row>
    <row r="218">
      <c r="B218" s="101"/>
      <c r="C218" s="101"/>
      <c r="G218" s="101"/>
    </row>
    <row r="219">
      <c r="B219" s="101"/>
      <c r="C219" s="101"/>
      <c r="G219" s="101"/>
    </row>
    <row r="220">
      <c r="B220" s="101"/>
      <c r="C220" s="101"/>
      <c r="G220" s="101"/>
    </row>
    <row r="221">
      <c r="B221" s="101"/>
      <c r="C221" s="101"/>
      <c r="G221" s="101"/>
    </row>
    <row r="222">
      <c r="B222" s="101"/>
      <c r="C222" s="101"/>
      <c r="G222" s="101"/>
    </row>
    <row r="223">
      <c r="B223" s="101"/>
      <c r="C223" s="101"/>
      <c r="G223" s="101"/>
    </row>
    <row r="224">
      <c r="B224" s="101"/>
      <c r="C224" s="101"/>
      <c r="G224" s="101"/>
    </row>
    <row r="225">
      <c r="B225" s="101"/>
      <c r="C225" s="101"/>
      <c r="G225" s="101"/>
    </row>
    <row r="226">
      <c r="B226" s="101"/>
      <c r="C226" s="101"/>
      <c r="G226" s="101"/>
    </row>
    <row r="227">
      <c r="B227" s="101"/>
      <c r="C227" s="101"/>
      <c r="G227" s="101"/>
    </row>
    <row r="228">
      <c r="B228" s="101"/>
      <c r="C228" s="101"/>
      <c r="G228" s="101"/>
    </row>
    <row r="229">
      <c r="B229" s="101"/>
      <c r="C229" s="101"/>
      <c r="G229" s="101"/>
    </row>
    <row r="230">
      <c r="B230" s="101"/>
      <c r="C230" s="101"/>
      <c r="G230" s="101"/>
    </row>
    <row r="231">
      <c r="B231" s="101"/>
      <c r="C231" s="101"/>
      <c r="G231" s="101"/>
    </row>
    <row r="232">
      <c r="B232" s="101"/>
      <c r="C232" s="101"/>
      <c r="G232" s="101"/>
    </row>
    <row r="233">
      <c r="B233" s="101"/>
      <c r="C233" s="101"/>
      <c r="G233" s="101"/>
    </row>
    <row r="234">
      <c r="B234" s="101"/>
      <c r="C234" s="101"/>
      <c r="G234" s="101"/>
    </row>
    <row r="235">
      <c r="B235" s="101"/>
      <c r="C235" s="101"/>
      <c r="G235" s="101"/>
    </row>
    <row r="236">
      <c r="B236" s="101"/>
      <c r="C236" s="101"/>
      <c r="G236" s="101"/>
    </row>
    <row r="237">
      <c r="B237" s="101"/>
      <c r="C237" s="101"/>
      <c r="G237" s="101"/>
    </row>
    <row r="238">
      <c r="B238" s="101"/>
      <c r="C238" s="101"/>
      <c r="G238" s="101"/>
    </row>
    <row r="239">
      <c r="B239" s="101"/>
      <c r="C239" s="101"/>
      <c r="G239" s="101"/>
    </row>
    <row r="240">
      <c r="B240" s="101"/>
      <c r="C240" s="101"/>
      <c r="G240" s="101"/>
    </row>
    <row r="241">
      <c r="B241" s="101"/>
      <c r="C241" s="101"/>
      <c r="G241" s="101"/>
    </row>
    <row r="242">
      <c r="B242" s="101"/>
      <c r="C242" s="101"/>
      <c r="G242" s="101"/>
    </row>
    <row r="243">
      <c r="B243" s="101"/>
      <c r="C243" s="101"/>
      <c r="G243" s="101"/>
    </row>
    <row r="244">
      <c r="B244" s="101"/>
      <c r="C244" s="101"/>
      <c r="G244" s="101"/>
    </row>
    <row r="245">
      <c r="B245" s="101"/>
      <c r="C245" s="101"/>
      <c r="G245" s="101"/>
    </row>
    <row r="246">
      <c r="B246" s="101"/>
      <c r="C246" s="101"/>
      <c r="G246" s="101"/>
    </row>
    <row r="247">
      <c r="B247" s="101"/>
      <c r="C247" s="101"/>
      <c r="G247" s="101"/>
    </row>
    <row r="248">
      <c r="B248" s="101"/>
      <c r="C248" s="101"/>
      <c r="G248" s="101"/>
    </row>
    <row r="249">
      <c r="B249" s="101"/>
      <c r="C249" s="101"/>
      <c r="G249" s="101"/>
    </row>
    <row r="250">
      <c r="B250" s="101"/>
      <c r="C250" s="101"/>
      <c r="G250" s="101"/>
    </row>
    <row r="251">
      <c r="B251" s="101"/>
      <c r="C251" s="101"/>
      <c r="G251" s="101"/>
    </row>
    <row r="252">
      <c r="B252" s="101"/>
      <c r="C252" s="101"/>
      <c r="G252" s="101"/>
    </row>
    <row r="253">
      <c r="B253" s="101"/>
      <c r="C253" s="101"/>
      <c r="G253" s="101"/>
    </row>
    <row r="254">
      <c r="B254" s="101"/>
      <c r="C254" s="101"/>
      <c r="G254" s="101"/>
    </row>
    <row r="255">
      <c r="B255" s="101"/>
      <c r="C255" s="101"/>
      <c r="G255" s="101"/>
    </row>
    <row r="256">
      <c r="B256" s="101"/>
      <c r="C256" s="101"/>
      <c r="G256" s="101"/>
    </row>
    <row r="257">
      <c r="B257" s="101"/>
      <c r="C257" s="101"/>
      <c r="G257" s="101"/>
    </row>
    <row r="258">
      <c r="B258" s="101"/>
      <c r="C258" s="101"/>
      <c r="G258" s="101"/>
    </row>
    <row r="259">
      <c r="B259" s="101"/>
      <c r="C259" s="101"/>
      <c r="G259" s="101"/>
    </row>
    <row r="260">
      <c r="B260" s="101"/>
      <c r="C260" s="101"/>
      <c r="G260" s="101"/>
    </row>
    <row r="261">
      <c r="B261" s="101"/>
      <c r="C261" s="101"/>
      <c r="G261" s="101"/>
    </row>
    <row r="262">
      <c r="B262" s="101"/>
      <c r="C262" s="101"/>
      <c r="G262" s="101"/>
    </row>
    <row r="263">
      <c r="B263" s="101"/>
      <c r="C263" s="101"/>
      <c r="G263" s="101"/>
    </row>
    <row r="264">
      <c r="B264" s="101"/>
      <c r="C264" s="101"/>
      <c r="G264" s="101"/>
    </row>
    <row r="265">
      <c r="B265" s="101"/>
      <c r="C265" s="101"/>
      <c r="G265" s="101"/>
    </row>
    <row r="266">
      <c r="B266" s="101"/>
      <c r="C266" s="101"/>
      <c r="G266" s="101"/>
    </row>
    <row r="267">
      <c r="B267" s="101"/>
      <c r="C267" s="101"/>
      <c r="G267" s="101"/>
    </row>
    <row r="268">
      <c r="B268" s="101"/>
      <c r="C268" s="101"/>
      <c r="G268" s="101"/>
    </row>
    <row r="269">
      <c r="B269" s="101"/>
      <c r="C269" s="101"/>
      <c r="G269" s="101"/>
    </row>
    <row r="270">
      <c r="B270" s="101"/>
      <c r="C270" s="101"/>
      <c r="G270" s="101"/>
    </row>
    <row r="271">
      <c r="B271" s="101"/>
      <c r="C271" s="101"/>
      <c r="G271" s="101"/>
    </row>
    <row r="272">
      <c r="B272" s="101"/>
      <c r="C272" s="101"/>
      <c r="G272" s="101"/>
    </row>
    <row r="273">
      <c r="B273" s="101"/>
      <c r="C273" s="101"/>
      <c r="G273" s="101"/>
    </row>
    <row r="274">
      <c r="B274" s="101"/>
      <c r="C274" s="101"/>
      <c r="G274" s="101"/>
    </row>
    <row r="275">
      <c r="B275" s="101"/>
      <c r="C275" s="101"/>
      <c r="G275" s="101"/>
    </row>
    <row r="276">
      <c r="B276" s="101"/>
      <c r="C276" s="101"/>
      <c r="G276" s="101"/>
    </row>
    <row r="277">
      <c r="B277" s="101"/>
      <c r="C277" s="101"/>
      <c r="G277" s="101"/>
    </row>
    <row r="278">
      <c r="B278" s="101"/>
      <c r="C278" s="101"/>
      <c r="G278" s="101"/>
    </row>
    <row r="279">
      <c r="B279" s="101"/>
      <c r="C279" s="101"/>
      <c r="G279" s="101"/>
    </row>
    <row r="280">
      <c r="B280" s="101"/>
      <c r="C280" s="101"/>
      <c r="G280" s="101"/>
    </row>
    <row r="281">
      <c r="B281" s="101"/>
      <c r="C281" s="101"/>
      <c r="G281" s="101"/>
    </row>
    <row r="282">
      <c r="B282" s="101"/>
      <c r="C282" s="101"/>
      <c r="G282" s="101"/>
    </row>
    <row r="283">
      <c r="B283" s="101"/>
      <c r="C283" s="101"/>
      <c r="G283" s="101"/>
    </row>
    <row r="284">
      <c r="B284" s="101"/>
      <c r="C284" s="101"/>
      <c r="G284" s="101"/>
    </row>
    <row r="285">
      <c r="B285" s="101"/>
      <c r="C285" s="101"/>
      <c r="G285" s="101"/>
    </row>
    <row r="286">
      <c r="B286" s="101"/>
      <c r="C286" s="101"/>
      <c r="G286" s="101"/>
    </row>
    <row r="287">
      <c r="B287" s="101"/>
      <c r="C287" s="101"/>
      <c r="G287" s="101"/>
    </row>
    <row r="288">
      <c r="B288" s="101"/>
      <c r="C288" s="101"/>
      <c r="G288" s="101"/>
    </row>
    <row r="289">
      <c r="B289" s="101"/>
      <c r="C289" s="101"/>
      <c r="G289" s="101"/>
    </row>
    <row r="290">
      <c r="B290" s="101"/>
      <c r="C290" s="101"/>
      <c r="G290" s="101"/>
    </row>
    <row r="291">
      <c r="B291" s="101"/>
      <c r="C291" s="101"/>
      <c r="G291" s="101"/>
    </row>
    <row r="292">
      <c r="B292" s="101"/>
      <c r="C292" s="101"/>
      <c r="G292" s="101"/>
    </row>
    <row r="293">
      <c r="B293" s="101"/>
      <c r="C293" s="101"/>
      <c r="G293" s="101"/>
    </row>
    <row r="294">
      <c r="B294" s="101"/>
      <c r="C294" s="101"/>
      <c r="G294" s="101"/>
    </row>
    <row r="295">
      <c r="B295" s="101"/>
      <c r="C295" s="101"/>
      <c r="G295" s="101"/>
    </row>
    <row r="296">
      <c r="B296" s="101"/>
      <c r="C296" s="101"/>
      <c r="G296" s="101"/>
    </row>
    <row r="297">
      <c r="B297" s="101"/>
      <c r="C297" s="101"/>
      <c r="G297" s="101"/>
    </row>
    <row r="298">
      <c r="B298" s="101"/>
      <c r="C298" s="101"/>
      <c r="G298" s="101"/>
    </row>
    <row r="299">
      <c r="B299" s="101"/>
      <c r="C299" s="101"/>
      <c r="G299" s="101"/>
    </row>
    <row r="300">
      <c r="B300" s="101"/>
      <c r="C300" s="101"/>
      <c r="G300" s="101"/>
    </row>
    <row r="301">
      <c r="B301" s="101"/>
      <c r="C301" s="101"/>
      <c r="G301" s="101"/>
    </row>
    <row r="302">
      <c r="B302" s="101"/>
      <c r="C302" s="101"/>
      <c r="G302" s="101"/>
    </row>
    <row r="303">
      <c r="B303" s="101"/>
      <c r="C303" s="101"/>
      <c r="G303" s="101"/>
    </row>
    <row r="304">
      <c r="B304" s="101"/>
      <c r="C304" s="101"/>
      <c r="G304" s="101"/>
    </row>
    <row r="305">
      <c r="B305" s="101"/>
      <c r="C305" s="101"/>
      <c r="G305" s="101"/>
    </row>
    <row r="306">
      <c r="B306" s="101"/>
      <c r="C306" s="101"/>
      <c r="G306" s="101"/>
    </row>
    <row r="307">
      <c r="B307" s="101"/>
      <c r="C307" s="101"/>
      <c r="G307" s="101"/>
    </row>
    <row r="308">
      <c r="B308" s="101"/>
      <c r="C308" s="101"/>
      <c r="G308" s="101"/>
    </row>
    <row r="309">
      <c r="B309" s="101"/>
      <c r="C309" s="101"/>
      <c r="G309" s="101"/>
    </row>
    <row r="310">
      <c r="B310" s="101"/>
      <c r="C310" s="101"/>
      <c r="G310" s="101"/>
    </row>
    <row r="311">
      <c r="B311" s="101"/>
      <c r="C311" s="101"/>
      <c r="G311" s="101"/>
    </row>
    <row r="312">
      <c r="B312" s="101"/>
      <c r="C312" s="101"/>
      <c r="G312" s="101"/>
    </row>
    <row r="313">
      <c r="B313" s="101"/>
      <c r="C313" s="101"/>
      <c r="G313" s="101"/>
    </row>
    <row r="314">
      <c r="B314" s="101"/>
      <c r="C314" s="101"/>
      <c r="G314" s="101"/>
    </row>
    <row r="315">
      <c r="B315" s="101"/>
      <c r="C315" s="101"/>
      <c r="G315" s="101"/>
    </row>
    <row r="316">
      <c r="B316" s="101"/>
      <c r="C316" s="101"/>
      <c r="G316" s="101"/>
    </row>
    <row r="317">
      <c r="B317" s="101"/>
      <c r="C317" s="101"/>
      <c r="G317" s="101"/>
    </row>
    <row r="318">
      <c r="B318" s="101"/>
      <c r="C318" s="101"/>
      <c r="G318" s="101"/>
    </row>
    <row r="319">
      <c r="B319" s="101"/>
      <c r="C319" s="101"/>
      <c r="G319" s="101"/>
    </row>
    <row r="320">
      <c r="B320" s="101"/>
      <c r="C320" s="101"/>
      <c r="G320" s="101"/>
    </row>
    <row r="321">
      <c r="B321" s="101"/>
      <c r="C321" s="101"/>
      <c r="G321" s="101"/>
    </row>
    <row r="322">
      <c r="B322" s="101"/>
      <c r="C322" s="101"/>
      <c r="G322" s="101"/>
    </row>
    <row r="323">
      <c r="B323" s="101"/>
      <c r="C323" s="101"/>
      <c r="G323" s="101"/>
    </row>
    <row r="324">
      <c r="B324" s="101"/>
      <c r="C324" s="101"/>
      <c r="G324" s="101"/>
    </row>
    <row r="325">
      <c r="B325" s="101"/>
      <c r="C325" s="101"/>
      <c r="G325" s="101"/>
    </row>
    <row r="326">
      <c r="B326" s="101"/>
      <c r="C326" s="101"/>
      <c r="G326" s="101"/>
    </row>
    <row r="327">
      <c r="B327" s="101"/>
      <c r="C327" s="101"/>
      <c r="G327" s="101"/>
    </row>
    <row r="328">
      <c r="B328" s="101"/>
      <c r="C328" s="101"/>
      <c r="G328" s="101"/>
    </row>
    <row r="329">
      <c r="B329" s="101"/>
      <c r="C329" s="101"/>
      <c r="G329" s="101"/>
    </row>
    <row r="330">
      <c r="B330" s="101"/>
      <c r="C330" s="101"/>
      <c r="G330" s="101"/>
    </row>
    <row r="331">
      <c r="B331" s="101"/>
      <c r="C331" s="101"/>
      <c r="G331" s="101"/>
    </row>
    <row r="332">
      <c r="B332" s="101"/>
      <c r="C332" s="101"/>
      <c r="G332" s="101"/>
    </row>
    <row r="333">
      <c r="B333" s="101"/>
      <c r="C333" s="101"/>
      <c r="G333" s="101"/>
    </row>
    <row r="334">
      <c r="B334" s="101"/>
      <c r="C334" s="101"/>
      <c r="G334" s="101"/>
    </row>
    <row r="335">
      <c r="B335" s="101"/>
      <c r="C335" s="101"/>
      <c r="G335" s="101"/>
    </row>
    <row r="336">
      <c r="B336" s="101"/>
      <c r="C336" s="101"/>
      <c r="G336" s="101"/>
    </row>
    <row r="337">
      <c r="B337" s="101"/>
      <c r="C337" s="101"/>
      <c r="G337" s="101"/>
    </row>
    <row r="338">
      <c r="B338" s="101"/>
      <c r="C338" s="101"/>
      <c r="G338" s="101"/>
    </row>
    <row r="339">
      <c r="B339" s="101"/>
      <c r="C339" s="101"/>
      <c r="G339" s="101"/>
    </row>
    <row r="340">
      <c r="B340" s="101"/>
      <c r="C340" s="101"/>
      <c r="G340" s="101"/>
    </row>
    <row r="341">
      <c r="B341" s="101"/>
      <c r="C341" s="101"/>
      <c r="G341" s="101"/>
    </row>
    <row r="342">
      <c r="B342" s="101"/>
      <c r="C342" s="101"/>
      <c r="G342" s="101"/>
    </row>
    <row r="343">
      <c r="B343" s="101"/>
      <c r="C343" s="101"/>
      <c r="G343" s="101"/>
    </row>
    <row r="344">
      <c r="B344" s="101"/>
      <c r="C344" s="101"/>
      <c r="G344" s="101"/>
    </row>
    <row r="345">
      <c r="B345" s="101"/>
      <c r="C345" s="101"/>
      <c r="G345" s="101"/>
    </row>
    <row r="346">
      <c r="B346" s="101"/>
      <c r="C346" s="101"/>
      <c r="G346" s="101"/>
    </row>
    <row r="347">
      <c r="B347" s="101"/>
      <c r="C347" s="101"/>
      <c r="G347" s="101"/>
    </row>
    <row r="348">
      <c r="B348" s="101"/>
      <c r="C348" s="101"/>
      <c r="G348" s="101"/>
    </row>
    <row r="349">
      <c r="B349" s="101"/>
      <c r="C349" s="101"/>
      <c r="G349" s="101"/>
    </row>
    <row r="350">
      <c r="B350" s="101"/>
      <c r="C350" s="101"/>
      <c r="G350" s="101"/>
    </row>
    <row r="351">
      <c r="B351" s="101"/>
      <c r="C351" s="101"/>
      <c r="G351" s="101"/>
    </row>
    <row r="352">
      <c r="B352" s="101"/>
      <c r="C352" s="101"/>
      <c r="G352" s="101"/>
    </row>
    <row r="353">
      <c r="B353" s="101"/>
      <c r="C353" s="101"/>
      <c r="G353" s="101"/>
    </row>
    <row r="354">
      <c r="B354" s="101"/>
      <c r="C354" s="101"/>
      <c r="G354" s="101"/>
    </row>
    <row r="355">
      <c r="B355" s="101"/>
      <c r="C355" s="101"/>
      <c r="G355" s="101"/>
    </row>
    <row r="356">
      <c r="B356" s="101"/>
      <c r="C356" s="101"/>
      <c r="G356" s="101"/>
    </row>
    <row r="357">
      <c r="B357" s="101"/>
      <c r="C357" s="101"/>
      <c r="G357" s="101"/>
    </row>
    <row r="358">
      <c r="B358" s="101"/>
      <c r="C358" s="101"/>
      <c r="G358" s="101"/>
    </row>
    <row r="359">
      <c r="B359" s="101"/>
      <c r="C359" s="101"/>
      <c r="G359" s="101"/>
    </row>
    <row r="360">
      <c r="B360" s="101"/>
      <c r="C360" s="101"/>
      <c r="G360" s="101"/>
    </row>
    <row r="361">
      <c r="B361" s="101"/>
      <c r="C361" s="101"/>
      <c r="G361" s="101"/>
    </row>
    <row r="362">
      <c r="B362" s="101"/>
      <c r="C362" s="101"/>
      <c r="G362" s="101"/>
    </row>
    <row r="363">
      <c r="B363" s="101"/>
      <c r="C363" s="101"/>
      <c r="G363" s="101"/>
    </row>
    <row r="364">
      <c r="B364" s="101"/>
      <c r="C364" s="101"/>
      <c r="G364" s="101"/>
    </row>
    <row r="365">
      <c r="B365" s="101"/>
      <c r="C365" s="101"/>
      <c r="G365" s="101"/>
    </row>
    <row r="366">
      <c r="B366" s="101"/>
      <c r="C366" s="101"/>
      <c r="G366" s="101"/>
    </row>
    <row r="367">
      <c r="B367" s="101"/>
      <c r="C367" s="101"/>
      <c r="G367" s="101"/>
    </row>
    <row r="368">
      <c r="B368" s="101"/>
      <c r="C368" s="101"/>
      <c r="G368" s="101"/>
    </row>
    <row r="369">
      <c r="B369" s="101"/>
      <c r="C369" s="101"/>
      <c r="G369" s="101"/>
    </row>
    <row r="370">
      <c r="B370" s="101"/>
      <c r="C370" s="101"/>
      <c r="G370" s="101"/>
    </row>
    <row r="371">
      <c r="B371" s="101"/>
      <c r="C371" s="101"/>
      <c r="G371" s="101"/>
    </row>
    <row r="372">
      <c r="B372" s="101"/>
      <c r="C372" s="101"/>
      <c r="G372" s="101"/>
    </row>
    <row r="373">
      <c r="B373" s="101"/>
      <c r="C373" s="101"/>
      <c r="G373" s="101"/>
    </row>
    <row r="374">
      <c r="B374" s="101"/>
      <c r="C374" s="101"/>
      <c r="G374" s="101"/>
    </row>
    <row r="375">
      <c r="B375" s="101"/>
      <c r="C375" s="101"/>
      <c r="G375" s="101"/>
    </row>
    <row r="376">
      <c r="B376" s="101"/>
      <c r="C376" s="101"/>
      <c r="G376" s="101"/>
    </row>
    <row r="377">
      <c r="B377" s="101"/>
      <c r="C377" s="101"/>
      <c r="G377" s="101"/>
    </row>
    <row r="378">
      <c r="B378" s="101"/>
      <c r="C378" s="101"/>
      <c r="G378" s="101"/>
    </row>
    <row r="379">
      <c r="B379" s="101"/>
      <c r="C379" s="101"/>
      <c r="G379" s="101"/>
    </row>
    <row r="380">
      <c r="B380" s="101"/>
      <c r="C380" s="101"/>
      <c r="G380" s="101"/>
    </row>
    <row r="381">
      <c r="B381" s="101"/>
      <c r="C381" s="101"/>
      <c r="G381" s="101"/>
    </row>
    <row r="382">
      <c r="B382" s="101"/>
      <c r="C382" s="101"/>
      <c r="G382" s="101"/>
    </row>
    <row r="383">
      <c r="B383" s="101"/>
      <c r="C383" s="101"/>
      <c r="G383" s="101"/>
    </row>
    <row r="384">
      <c r="B384" s="101"/>
      <c r="C384" s="101"/>
      <c r="G384" s="101"/>
    </row>
    <row r="385">
      <c r="B385" s="101"/>
      <c r="C385" s="101"/>
      <c r="G385" s="101"/>
    </row>
    <row r="386">
      <c r="B386" s="101"/>
      <c r="C386" s="101"/>
      <c r="G386" s="101"/>
    </row>
    <row r="387">
      <c r="B387" s="101"/>
      <c r="C387" s="101"/>
      <c r="G387" s="101"/>
    </row>
    <row r="388">
      <c r="B388" s="101"/>
      <c r="C388" s="101"/>
      <c r="G388" s="101"/>
    </row>
    <row r="389">
      <c r="B389" s="101"/>
      <c r="C389" s="101"/>
      <c r="G389" s="101"/>
    </row>
    <row r="390">
      <c r="B390" s="101"/>
      <c r="C390" s="101"/>
      <c r="G390" s="101"/>
    </row>
    <row r="391">
      <c r="B391" s="101"/>
      <c r="C391" s="101"/>
      <c r="G391" s="101"/>
    </row>
    <row r="392">
      <c r="B392" s="101"/>
      <c r="C392" s="101"/>
      <c r="G392" s="101"/>
    </row>
    <row r="393">
      <c r="B393" s="101"/>
      <c r="C393" s="101"/>
      <c r="G393" s="101"/>
    </row>
    <row r="394">
      <c r="B394" s="101"/>
      <c r="C394" s="101"/>
      <c r="G394" s="101"/>
    </row>
    <row r="395">
      <c r="B395" s="101"/>
      <c r="C395" s="101"/>
      <c r="G395" s="101"/>
    </row>
    <row r="396">
      <c r="B396" s="101"/>
      <c r="C396" s="101"/>
      <c r="G396" s="101"/>
    </row>
    <row r="397">
      <c r="B397" s="101"/>
      <c r="C397" s="101"/>
      <c r="G397" s="101"/>
    </row>
    <row r="398">
      <c r="B398" s="101"/>
      <c r="C398" s="101"/>
      <c r="G398" s="101"/>
    </row>
    <row r="399">
      <c r="B399" s="101"/>
      <c r="C399" s="101"/>
      <c r="G399" s="101"/>
    </row>
    <row r="400">
      <c r="B400" s="101"/>
      <c r="C400" s="101"/>
      <c r="G400" s="101"/>
    </row>
    <row r="401">
      <c r="B401" s="101"/>
      <c r="C401" s="101"/>
      <c r="G401" s="101"/>
    </row>
    <row r="402">
      <c r="B402" s="101"/>
      <c r="C402" s="101"/>
      <c r="G402" s="101"/>
    </row>
    <row r="403">
      <c r="B403" s="101"/>
      <c r="C403" s="101"/>
      <c r="G403" s="101"/>
    </row>
    <row r="404">
      <c r="B404" s="101"/>
      <c r="C404" s="101"/>
      <c r="G404" s="101"/>
    </row>
    <row r="405">
      <c r="B405" s="101"/>
      <c r="C405" s="101"/>
      <c r="G405" s="101"/>
    </row>
    <row r="406">
      <c r="B406" s="101"/>
      <c r="C406" s="101"/>
      <c r="G406" s="101"/>
    </row>
    <row r="407">
      <c r="B407" s="101"/>
      <c r="C407" s="101"/>
      <c r="G407" s="101"/>
    </row>
    <row r="408">
      <c r="B408" s="101"/>
      <c r="C408" s="101"/>
      <c r="G408" s="101"/>
    </row>
    <row r="409">
      <c r="B409" s="101"/>
      <c r="C409" s="101"/>
      <c r="G409" s="101"/>
    </row>
    <row r="410">
      <c r="B410" s="101"/>
      <c r="C410" s="101"/>
      <c r="G410" s="101"/>
    </row>
    <row r="411">
      <c r="B411" s="101"/>
      <c r="C411" s="101"/>
      <c r="G411" s="101"/>
    </row>
    <row r="412">
      <c r="B412" s="101"/>
      <c r="C412" s="101"/>
      <c r="G412" s="101"/>
    </row>
    <row r="413">
      <c r="B413" s="101"/>
      <c r="C413" s="101"/>
      <c r="G413" s="101"/>
    </row>
    <row r="414">
      <c r="B414" s="101"/>
      <c r="C414" s="101"/>
      <c r="G414" s="101"/>
    </row>
    <row r="415">
      <c r="B415" s="101"/>
      <c r="C415" s="101"/>
      <c r="G415" s="101"/>
    </row>
    <row r="416">
      <c r="B416" s="101"/>
      <c r="C416" s="101"/>
      <c r="G416" s="101"/>
    </row>
    <row r="417">
      <c r="B417" s="101"/>
      <c r="C417" s="101"/>
      <c r="G417" s="101"/>
    </row>
    <row r="418">
      <c r="B418" s="101"/>
      <c r="C418" s="101"/>
      <c r="G418" s="101"/>
    </row>
    <row r="419">
      <c r="B419" s="101"/>
      <c r="C419" s="101"/>
      <c r="G419" s="101"/>
    </row>
    <row r="420">
      <c r="B420" s="101"/>
      <c r="C420" s="101"/>
      <c r="G420" s="101"/>
    </row>
    <row r="421">
      <c r="B421" s="101"/>
      <c r="C421" s="101"/>
      <c r="G421" s="101"/>
    </row>
    <row r="422">
      <c r="B422" s="101"/>
      <c r="C422" s="101"/>
      <c r="G422" s="101"/>
    </row>
    <row r="423">
      <c r="B423" s="101"/>
      <c r="C423" s="101"/>
      <c r="G423" s="101"/>
    </row>
    <row r="424">
      <c r="B424" s="101"/>
      <c r="C424" s="101"/>
      <c r="G424" s="101"/>
    </row>
    <row r="425">
      <c r="B425" s="101"/>
      <c r="C425" s="101"/>
      <c r="G425" s="101"/>
    </row>
    <row r="426">
      <c r="B426" s="101"/>
      <c r="C426" s="101"/>
      <c r="G426" s="101"/>
    </row>
    <row r="427">
      <c r="B427" s="101"/>
      <c r="C427" s="101"/>
      <c r="G427" s="101"/>
    </row>
    <row r="428">
      <c r="B428" s="101"/>
      <c r="C428" s="101"/>
      <c r="G428" s="101"/>
    </row>
    <row r="429">
      <c r="B429" s="101"/>
      <c r="C429" s="101"/>
      <c r="G429" s="101"/>
    </row>
    <row r="430">
      <c r="B430" s="101"/>
      <c r="C430" s="101"/>
      <c r="G430" s="101"/>
    </row>
    <row r="431">
      <c r="B431" s="101"/>
      <c r="C431" s="101"/>
      <c r="G431" s="101"/>
    </row>
    <row r="432">
      <c r="B432" s="101"/>
      <c r="C432" s="101"/>
      <c r="G432" s="101"/>
    </row>
    <row r="433">
      <c r="B433" s="101"/>
      <c r="C433" s="101"/>
      <c r="G433" s="101"/>
    </row>
    <row r="434">
      <c r="B434" s="101"/>
      <c r="C434" s="101"/>
      <c r="G434" s="101"/>
    </row>
    <row r="435">
      <c r="B435" s="101"/>
      <c r="C435" s="101"/>
      <c r="G435" s="101"/>
    </row>
    <row r="436">
      <c r="B436" s="101"/>
      <c r="C436" s="101"/>
      <c r="G436" s="101"/>
    </row>
    <row r="437">
      <c r="B437" s="101"/>
      <c r="C437" s="101"/>
      <c r="G437" s="101"/>
    </row>
    <row r="438">
      <c r="B438" s="101"/>
      <c r="C438" s="101"/>
      <c r="G438" s="101"/>
    </row>
    <row r="439">
      <c r="B439" s="101"/>
      <c r="C439" s="101"/>
      <c r="G439" s="101"/>
    </row>
    <row r="440">
      <c r="B440" s="101"/>
      <c r="C440" s="101"/>
      <c r="G440" s="101"/>
    </row>
    <row r="441">
      <c r="B441" s="101"/>
      <c r="C441" s="101"/>
      <c r="G441" s="101"/>
    </row>
    <row r="442">
      <c r="B442" s="101"/>
      <c r="C442" s="101"/>
      <c r="G442" s="101"/>
    </row>
    <row r="443">
      <c r="B443" s="101"/>
      <c r="C443" s="101"/>
      <c r="G443" s="101"/>
    </row>
    <row r="444">
      <c r="B444" s="101"/>
      <c r="C444" s="101"/>
      <c r="G444" s="101"/>
    </row>
    <row r="445">
      <c r="B445" s="101"/>
      <c r="C445" s="101"/>
      <c r="G445" s="101"/>
    </row>
    <row r="446">
      <c r="B446" s="101"/>
      <c r="C446" s="101"/>
      <c r="G446" s="101"/>
    </row>
    <row r="447">
      <c r="B447" s="101"/>
      <c r="C447" s="101"/>
      <c r="G447" s="101"/>
    </row>
    <row r="448">
      <c r="B448" s="101"/>
      <c r="C448" s="101"/>
      <c r="G448" s="101"/>
    </row>
    <row r="449">
      <c r="B449" s="101"/>
      <c r="C449" s="101"/>
      <c r="G449" s="101"/>
    </row>
    <row r="450">
      <c r="B450" s="101"/>
      <c r="C450" s="101"/>
      <c r="G450" s="101"/>
    </row>
    <row r="451">
      <c r="B451" s="101"/>
      <c r="C451" s="101"/>
      <c r="G451" s="101"/>
    </row>
    <row r="452">
      <c r="B452" s="101"/>
      <c r="C452" s="101"/>
      <c r="G452" s="101"/>
    </row>
    <row r="453">
      <c r="B453" s="101"/>
      <c r="C453" s="101"/>
      <c r="G453" s="101"/>
    </row>
    <row r="454">
      <c r="B454" s="101"/>
      <c r="C454" s="101"/>
      <c r="G454" s="101"/>
    </row>
    <row r="455">
      <c r="B455" s="101"/>
      <c r="C455" s="101"/>
      <c r="G455" s="101"/>
    </row>
    <row r="456">
      <c r="B456" s="101"/>
      <c r="C456" s="101"/>
      <c r="G456" s="101"/>
    </row>
    <row r="457">
      <c r="B457" s="101"/>
      <c r="C457" s="101"/>
      <c r="G457" s="101"/>
    </row>
    <row r="458">
      <c r="B458" s="101"/>
      <c r="C458" s="101"/>
      <c r="G458" s="101"/>
    </row>
    <row r="459">
      <c r="B459" s="101"/>
      <c r="C459" s="101"/>
      <c r="G459" s="101"/>
    </row>
    <row r="460">
      <c r="B460" s="101"/>
      <c r="C460" s="101"/>
      <c r="G460" s="101"/>
    </row>
    <row r="461">
      <c r="B461" s="101"/>
      <c r="C461" s="101"/>
      <c r="G461" s="101"/>
    </row>
    <row r="462">
      <c r="B462" s="101"/>
      <c r="C462" s="101"/>
      <c r="G462" s="101"/>
    </row>
    <row r="463">
      <c r="B463" s="101"/>
      <c r="C463" s="101"/>
      <c r="G463" s="101"/>
    </row>
    <row r="464">
      <c r="B464" s="101"/>
      <c r="C464" s="101"/>
      <c r="G464" s="101"/>
    </row>
    <row r="465">
      <c r="B465" s="101"/>
      <c r="C465" s="101"/>
      <c r="G465" s="101"/>
    </row>
    <row r="466">
      <c r="B466" s="101"/>
      <c r="C466" s="101"/>
      <c r="G466" s="101"/>
    </row>
    <row r="467">
      <c r="B467" s="101"/>
      <c r="C467" s="101"/>
      <c r="G467" s="101"/>
    </row>
    <row r="468">
      <c r="B468" s="101"/>
      <c r="C468" s="101"/>
      <c r="G468" s="101"/>
    </row>
    <row r="469">
      <c r="B469" s="101"/>
      <c r="C469" s="101"/>
      <c r="G469" s="101"/>
    </row>
    <row r="470">
      <c r="B470" s="101"/>
      <c r="C470" s="101"/>
      <c r="G470" s="101"/>
    </row>
    <row r="471">
      <c r="B471" s="101"/>
      <c r="C471" s="101"/>
      <c r="G471" s="101"/>
    </row>
    <row r="472">
      <c r="B472" s="101"/>
      <c r="C472" s="101"/>
      <c r="G472" s="101"/>
    </row>
    <row r="473">
      <c r="B473" s="101"/>
      <c r="C473" s="101"/>
      <c r="G473" s="101"/>
    </row>
    <row r="474">
      <c r="B474" s="101"/>
      <c r="C474" s="101"/>
      <c r="G474" s="101"/>
    </row>
    <row r="475">
      <c r="B475" s="101"/>
      <c r="C475" s="101"/>
      <c r="G475" s="101"/>
    </row>
    <row r="476">
      <c r="B476" s="101"/>
      <c r="C476" s="101"/>
      <c r="G476" s="101"/>
    </row>
    <row r="477">
      <c r="B477" s="101"/>
      <c r="C477" s="101"/>
      <c r="G477" s="101"/>
    </row>
    <row r="478">
      <c r="B478" s="101"/>
      <c r="C478" s="101"/>
      <c r="G478" s="101"/>
    </row>
    <row r="479">
      <c r="B479" s="101"/>
      <c r="C479" s="101"/>
      <c r="G479" s="101"/>
    </row>
    <row r="480">
      <c r="B480" s="101"/>
      <c r="C480" s="101"/>
      <c r="G480" s="101"/>
    </row>
    <row r="481">
      <c r="B481" s="101"/>
      <c r="C481" s="101"/>
      <c r="G481" s="101"/>
    </row>
    <row r="482">
      <c r="B482" s="101"/>
      <c r="C482" s="101"/>
      <c r="G482" s="101"/>
    </row>
    <row r="483">
      <c r="B483" s="101"/>
      <c r="C483" s="101"/>
      <c r="G483" s="101"/>
    </row>
    <row r="484">
      <c r="B484" s="101"/>
      <c r="C484" s="101"/>
      <c r="G484" s="101"/>
    </row>
    <row r="485">
      <c r="B485" s="101"/>
      <c r="C485" s="101"/>
      <c r="G485" s="101"/>
    </row>
    <row r="486">
      <c r="B486" s="101"/>
      <c r="C486" s="101"/>
      <c r="G486" s="101"/>
    </row>
    <row r="487">
      <c r="B487" s="101"/>
      <c r="C487" s="101"/>
      <c r="G487" s="101"/>
    </row>
    <row r="488">
      <c r="B488" s="101"/>
      <c r="C488" s="101"/>
      <c r="G488" s="101"/>
    </row>
    <row r="489">
      <c r="B489" s="101"/>
      <c r="C489" s="101"/>
      <c r="G489" s="101"/>
    </row>
    <row r="490">
      <c r="B490" s="101"/>
      <c r="C490" s="101"/>
      <c r="G490" s="101"/>
    </row>
    <row r="491">
      <c r="B491" s="101"/>
      <c r="C491" s="101"/>
      <c r="G491" s="101"/>
    </row>
    <row r="492">
      <c r="B492" s="101"/>
      <c r="C492" s="101"/>
      <c r="G492" s="101"/>
    </row>
    <row r="493">
      <c r="B493" s="101"/>
      <c r="C493" s="101"/>
      <c r="G493" s="101"/>
    </row>
    <row r="494">
      <c r="B494" s="101"/>
      <c r="C494" s="101"/>
      <c r="G494" s="101"/>
    </row>
    <row r="495">
      <c r="B495" s="101"/>
      <c r="C495" s="101"/>
      <c r="G495" s="101"/>
    </row>
    <row r="496">
      <c r="B496" s="101"/>
      <c r="C496" s="101"/>
      <c r="G496" s="101"/>
    </row>
    <row r="497">
      <c r="B497" s="101"/>
      <c r="C497" s="101"/>
      <c r="G497" s="101"/>
    </row>
    <row r="498">
      <c r="B498" s="101"/>
      <c r="C498" s="101"/>
      <c r="G498" s="101"/>
    </row>
    <row r="499">
      <c r="B499" s="101"/>
      <c r="C499" s="101"/>
      <c r="G499" s="101"/>
    </row>
    <row r="500">
      <c r="B500" s="101"/>
      <c r="C500" s="101"/>
      <c r="G500" s="101"/>
    </row>
    <row r="501">
      <c r="B501" s="101"/>
      <c r="C501" s="101"/>
      <c r="G501" s="101"/>
    </row>
    <row r="502">
      <c r="B502" s="101"/>
      <c r="C502" s="101"/>
      <c r="G502" s="101"/>
    </row>
    <row r="503">
      <c r="B503" s="101"/>
      <c r="C503" s="101"/>
      <c r="G503" s="101"/>
    </row>
    <row r="504">
      <c r="B504" s="101"/>
      <c r="C504" s="101"/>
      <c r="G504" s="101"/>
    </row>
    <row r="505">
      <c r="B505" s="101"/>
      <c r="C505" s="101"/>
      <c r="G505" s="101"/>
    </row>
    <row r="506">
      <c r="B506" s="101"/>
      <c r="C506" s="101"/>
      <c r="G506" s="101"/>
    </row>
    <row r="507">
      <c r="B507" s="101"/>
      <c r="C507" s="101"/>
      <c r="G507" s="101"/>
    </row>
    <row r="508">
      <c r="B508" s="101"/>
      <c r="C508" s="101"/>
      <c r="G508" s="101"/>
    </row>
    <row r="509">
      <c r="B509" s="101"/>
      <c r="C509" s="101"/>
      <c r="G509" s="101"/>
    </row>
    <row r="510">
      <c r="B510" s="101"/>
      <c r="C510" s="101"/>
      <c r="G510" s="101"/>
    </row>
    <row r="511">
      <c r="B511" s="101"/>
      <c r="C511" s="101"/>
      <c r="G511" s="101"/>
    </row>
    <row r="512">
      <c r="B512" s="101"/>
      <c r="C512" s="101"/>
      <c r="G512" s="101"/>
    </row>
    <row r="513">
      <c r="B513" s="101"/>
      <c r="C513" s="101"/>
      <c r="G513" s="101"/>
    </row>
    <row r="514">
      <c r="B514" s="101"/>
      <c r="C514" s="101"/>
      <c r="G514" s="101"/>
    </row>
    <row r="515">
      <c r="B515" s="101"/>
      <c r="C515" s="101"/>
      <c r="G515" s="101"/>
    </row>
    <row r="516">
      <c r="B516" s="101"/>
      <c r="C516" s="101"/>
      <c r="G516" s="101"/>
    </row>
    <row r="517">
      <c r="B517" s="101"/>
      <c r="C517" s="101"/>
      <c r="G517" s="101"/>
    </row>
    <row r="518">
      <c r="B518" s="101"/>
      <c r="C518" s="101"/>
      <c r="G518" s="101"/>
    </row>
    <row r="519">
      <c r="B519" s="101"/>
      <c r="C519" s="101"/>
      <c r="G519" s="101"/>
    </row>
    <row r="520">
      <c r="B520" s="101"/>
      <c r="C520" s="101"/>
      <c r="G520" s="101"/>
    </row>
    <row r="521">
      <c r="B521" s="101"/>
      <c r="C521" s="101"/>
      <c r="G521" s="101"/>
    </row>
    <row r="522">
      <c r="B522" s="101"/>
      <c r="C522" s="101"/>
      <c r="G522" s="101"/>
    </row>
    <row r="523">
      <c r="B523" s="101"/>
      <c r="C523" s="101"/>
      <c r="G523" s="101"/>
    </row>
    <row r="524">
      <c r="B524" s="101"/>
      <c r="C524" s="101"/>
      <c r="G524" s="101"/>
    </row>
    <row r="525">
      <c r="B525" s="101"/>
      <c r="C525" s="101"/>
      <c r="G525" s="101"/>
    </row>
    <row r="526">
      <c r="B526" s="101"/>
      <c r="C526" s="101"/>
      <c r="G526" s="101"/>
    </row>
    <row r="527">
      <c r="B527" s="101"/>
      <c r="C527" s="101"/>
      <c r="G527" s="101"/>
    </row>
    <row r="528">
      <c r="B528" s="101"/>
      <c r="C528" s="101"/>
      <c r="G528" s="101"/>
    </row>
    <row r="529">
      <c r="B529" s="101"/>
      <c r="C529" s="101"/>
      <c r="G529" s="101"/>
    </row>
    <row r="530">
      <c r="B530" s="101"/>
      <c r="C530" s="101"/>
      <c r="G530" s="101"/>
    </row>
    <row r="531">
      <c r="B531" s="101"/>
      <c r="C531" s="101"/>
      <c r="G531" s="101"/>
    </row>
    <row r="532">
      <c r="B532" s="101"/>
      <c r="C532" s="101"/>
      <c r="G532" s="101"/>
    </row>
    <row r="533">
      <c r="B533" s="101"/>
      <c r="C533" s="101"/>
      <c r="G533" s="101"/>
    </row>
    <row r="534">
      <c r="B534" s="101"/>
      <c r="C534" s="101"/>
      <c r="G534" s="101"/>
    </row>
    <row r="535">
      <c r="B535" s="101"/>
      <c r="C535" s="101"/>
      <c r="G535" s="101"/>
    </row>
    <row r="536">
      <c r="B536" s="101"/>
      <c r="C536" s="101"/>
      <c r="G536" s="101"/>
    </row>
    <row r="537">
      <c r="B537" s="101"/>
      <c r="C537" s="101"/>
      <c r="G537" s="101"/>
    </row>
    <row r="538">
      <c r="B538" s="101"/>
      <c r="C538" s="101"/>
      <c r="G538" s="101"/>
    </row>
    <row r="539">
      <c r="B539" s="101"/>
      <c r="C539" s="101"/>
      <c r="G539" s="101"/>
    </row>
    <row r="540">
      <c r="B540" s="101"/>
      <c r="C540" s="101"/>
      <c r="G540" s="101"/>
    </row>
    <row r="541">
      <c r="B541" s="101"/>
      <c r="C541" s="101"/>
      <c r="G541" s="101"/>
    </row>
    <row r="542">
      <c r="B542" s="101"/>
      <c r="C542" s="101"/>
      <c r="G542" s="101"/>
    </row>
    <row r="543">
      <c r="B543" s="101"/>
      <c r="C543" s="101"/>
      <c r="G543" s="101"/>
    </row>
    <row r="544">
      <c r="B544" s="101"/>
      <c r="C544" s="101"/>
      <c r="G544" s="101"/>
    </row>
    <row r="545">
      <c r="B545" s="101"/>
      <c r="C545" s="101"/>
      <c r="G545" s="101"/>
    </row>
    <row r="546">
      <c r="B546" s="101"/>
      <c r="C546" s="101"/>
      <c r="G546" s="101"/>
    </row>
    <row r="547">
      <c r="B547" s="101"/>
      <c r="C547" s="101"/>
      <c r="G547" s="101"/>
    </row>
    <row r="548">
      <c r="B548" s="101"/>
      <c r="C548" s="101"/>
      <c r="G548" s="101"/>
    </row>
    <row r="549">
      <c r="B549" s="101"/>
      <c r="C549" s="101"/>
      <c r="G549" s="101"/>
    </row>
    <row r="550">
      <c r="B550" s="101"/>
      <c r="C550" s="101"/>
      <c r="G550" s="101"/>
    </row>
    <row r="551">
      <c r="B551" s="101"/>
      <c r="C551" s="101"/>
      <c r="G551" s="101"/>
    </row>
    <row r="552">
      <c r="B552" s="101"/>
      <c r="C552" s="101"/>
      <c r="G552" s="101"/>
    </row>
    <row r="553">
      <c r="B553" s="101"/>
      <c r="C553" s="101"/>
      <c r="G553" s="101"/>
    </row>
    <row r="554">
      <c r="B554" s="101"/>
      <c r="C554" s="101"/>
      <c r="G554" s="101"/>
    </row>
    <row r="555">
      <c r="B555" s="101"/>
      <c r="C555" s="101"/>
      <c r="G555" s="101"/>
    </row>
    <row r="556">
      <c r="B556" s="101"/>
      <c r="C556" s="101"/>
      <c r="G556" s="101"/>
    </row>
    <row r="557">
      <c r="B557" s="101"/>
      <c r="C557" s="101"/>
      <c r="G557" s="101"/>
    </row>
    <row r="558">
      <c r="B558" s="101"/>
      <c r="C558" s="101"/>
      <c r="G558" s="101"/>
    </row>
    <row r="559">
      <c r="B559" s="101"/>
      <c r="C559" s="101"/>
      <c r="G559" s="101"/>
    </row>
    <row r="560">
      <c r="B560" s="101"/>
      <c r="C560" s="101"/>
      <c r="G560" s="101"/>
    </row>
    <row r="561">
      <c r="B561" s="101"/>
      <c r="C561" s="101"/>
      <c r="G561" s="101"/>
    </row>
    <row r="562">
      <c r="B562" s="101"/>
      <c r="C562" s="101"/>
      <c r="G562" s="101"/>
    </row>
    <row r="563">
      <c r="B563" s="101"/>
      <c r="C563" s="101"/>
      <c r="G563" s="101"/>
    </row>
    <row r="564">
      <c r="B564" s="101"/>
      <c r="C564" s="101"/>
      <c r="G564" s="101"/>
    </row>
    <row r="565">
      <c r="B565" s="101"/>
      <c r="C565" s="101"/>
      <c r="G565" s="101"/>
    </row>
    <row r="566">
      <c r="B566" s="101"/>
      <c r="C566" s="101"/>
      <c r="G566" s="101"/>
    </row>
    <row r="567">
      <c r="B567" s="101"/>
      <c r="C567" s="101"/>
      <c r="G567" s="101"/>
    </row>
    <row r="568">
      <c r="B568" s="101"/>
      <c r="C568" s="101"/>
      <c r="G568" s="101"/>
    </row>
    <row r="569">
      <c r="B569" s="101"/>
      <c r="C569" s="101"/>
      <c r="G569" s="101"/>
    </row>
    <row r="570">
      <c r="B570" s="101"/>
      <c r="C570" s="101"/>
      <c r="G570" s="101"/>
    </row>
    <row r="571">
      <c r="B571" s="101"/>
      <c r="C571" s="101"/>
      <c r="G571" s="101"/>
    </row>
    <row r="572">
      <c r="B572" s="101"/>
      <c r="C572" s="101"/>
      <c r="G572" s="101"/>
    </row>
    <row r="573">
      <c r="B573" s="101"/>
      <c r="C573" s="101"/>
      <c r="G573" s="101"/>
    </row>
    <row r="574">
      <c r="B574" s="101"/>
      <c r="C574" s="101"/>
      <c r="G574" s="101"/>
    </row>
    <row r="575">
      <c r="B575" s="101"/>
      <c r="C575" s="101"/>
      <c r="G575" s="101"/>
    </row>
    <row r="576">
      <c r="B576" s="101"/>
      <c r="C576" s="101"/>
      <c r="G576" s="101"/>
    </row>
    <row r="577">
      <c r="B577" s="101"/>
      <c r="C577" s="101"/>
      <c r="G577" s="101"/>
    </row>
    <row r="578">
      <c r="B578" s="101"/>
      <c r="C578" s="101"/>
      <c r="G578" s="101"/>
    </row>
    <row r="579">
      <c r="B579" s="101"/>
      <c r="C579" s="101"/>
      <c r="G579" s="101"/>
    </row>
    <row r="580">
      <c r="B580" s="101"/>
      <c r="C580" s="101"/>
      <c r="G580" s="101"/>
    </row>
    <row r="581">
      <c r="B581" s="101"/>
      <c r="C581" s="101"/>
      <c r="G581" s="101"/>
    </row>
    <row r="582">
      <c r="B582" s="101"/>
      <c r="C582" s="101"/>
      <c r="G582" s="101"/>
    </row>
    <row r="583">
      <c r="B583" s="101"/>
      <c r="C583" s="101"/>
      <c r="G583" s="101"/>
    </row>
    <row r="584">
      <c r="B584" s="101"/>
      <c r="C584" s="101"/>
      <c r="G584" s="101"/>
    </row>
    <row r="585">
      <c r="B585" s="101"/>
      <c r="C585" s="101"/>
      <c r="G585" s="101"/>
    </row>
    <row r="586">
      <c r="B586" s="101"/>
      <c r="C586" s="101"/>
      <c r="G586" s="101"/>
    </row>
    <row r="587">
      <c r="B587" s="101"/>
      <c r="C587" s="101"/>
      <c r="G587" s="101"/>
    </row>
    <row r="588">
      <c r="B588" s="101"/>
      <c r="C588" s="101"/>
      <c r="G588" s="101"/>
    </row>
    <row r="589">
      <c r="B589" s="101"/>
      <c r="C589" s="101"/>
      <c r="G589" s="101"/>
    </row>
    <row r="590">
      <c r="B590" s="101"/>
      <c r="C590" s="101"/>
      <c r="G590" s="101"/>
    </row>
    <row r="591">
      <c r="B591" s="101"/>
      <c r="C591" s="101"/>
      <c r="G591" s="101"/>
    </row>
    <row r="592">
      <c r="B592" s="101"/>
      <c r="C592" s="101"/>
      <c r="G592" s="101"/>
    </row>
    <row r="593">
      <c r="B593" s="101"/>
      <c r="C593" s="101"/>
      <c r="G593" s="101"/>
    </row>
    <row r="594">
      <c r="B594" s="101"/>
      <c r="C594" s="101"/>
      <c r="G594" s="101"/>
    </row>
    <row r="595">
      <c r="B595" s="101"/>
      <c r="C595" s="101"/>
      <c r="G595" s="101"/>
    </row>
    <row r="596">
      <c r="B596" s="101"/>
      <c r="C596" s="101"/>
      <c r="G596" s="101"/>
    </row>
    <row r="597">
      <c r="B597" s="101"/>
      <c r="C597" s="101"/>
      <c r="G597" s="101"/>
    </row>
    <row r="598">
      <c r="B598" s="101"/>
      <c r="C598" s="101"/>
      <c r="G598" s="101"/>
    </row>
    <row r="599">
      <c r="B599" s="101"/>
      <c r="C599" s="101"/>
      <c r="G599" s="101"/>
    </row>
    <row r="600">
      <c r="B600" s="101"/>
      <c r="C600" s="101"/>
      <c r="G600" s="101"/>
    </row>
    <row r="601">
      <c r="B601" s="101"/>
      <c r="C601" s="101"/>
      <c r="G601" s="101"/>
    </row>
    <row r="602">
      <c r="B602" s="101"/>
      <c r="C602" s="101"/>
      <c r="G602" s="101"/>
    </row>
    <row r="603">
      <c r="B603" s="101"/>
      <c r="C603" s="101"/>
      <c r="G603" s="101"/>
    </row>
    <row r="604">
      <c r="B604" s="101"/>
      <c r="C604" s="101"/>
      <c r="G604" s="101"/>
    </row>
    <row r="605">
      <c r="B605" s="101"/>
      <c r="C605" s="101"/>
      <c r="G605" s="101"/>
    </row>
    <row r="606">
      <c r="B606" s="101"/>
      <c r="C606" s="101"/>
      <c r="G606" s="101"/>
    </row>
    <row r="607">
      <c r="B607" s="101"/>
      <c r="C607" s="101"/>
      <c r="G607" s="101"/>
    </row>
    <row r="608">
      <c r="B608" s="101"/>
      <c r="C608" s="101"/>
      <c r="G608" s="101"/>
    </row>
    <row r="609">
      <c r="B609" s="101"/>
      <c r="C609" s="101"/>
      <c r="G609" s="101"/>
    </row>
    <row r="610">
      <c r="B610" s="101"/>
      <c r="C610" s="101"/>
      <c r="G610" s="101"/>
    </row>
    <row r="611">
      <c r="B611" s="101"/>
      <c r="C611" s="101"/>
      <c r="G611" s="101"/>
    </row>
    <row r="612">
      <c r="B612" s="101"/>
      <c r="C612" s="101"/>
      <c r="G612" s="101"/>
    </row>
    <row r="613">
      <c r="B613" s="101"/>
      <c r="C613" s="101"/>
      <c r="G613" s="101"/>
    </row>
    <row r="614">
      <c r="B614" s="101"/>
      <c r="C614" s="101"/>
      <c r="G614" s="101"/>
    </row>
    <row r="615">
      <c r="B615" s="101"/>
      <c r="C615" s="101"/>
      <c r="G615" s="101"/>
    </row>
    <row r="616">
      <c r="B616" s="101"/>
      <c r="C616" s="101"/>
      <c r="G616" s="101"/>
    </row>
    <row r="617">
      <c r="B617" s="101"/>
      <c r="C617" s="101"/>
      <c r="G617" s="101"/>
    </row>
    <row r="618">
      <c r="B618" s="101"/>
      <c r="C618" s="101"/>
      <c r="G618" s="101"/>
    </row>
    <row r="619">
      <c r="B619" s="101"/>
      <c r="C619" s="101"/>
      <c r="G619" s="101"/>
    </row>
    <row r="620">
      <c r="B620" s="101"/>
      <c r="C620" s="101"/>
      <c r="G620" s="101"/>
    </row>
    <row r="621">
      <c r="B621" s="101"/>
      <c r="C621" s="101"/>
      <c r="G621" s="101"/>
    </row>
    <row r="622">
      <c r="B622" s="101"/>
      <c r="C622" s="101"/>
      <c r="G622" s="101"/>
    </row>
    <row r="623">
      <c r="B623" s="101"/>
      <c r="C623" s="101"/>
      <c r="G623" s="101"/>
    </row>
    <row r="624">
      <c r="B624" s="101"/>
      <c r="C624" s="101"/>
      <c r="G624" s="101"/>
    </row>
    <row r="625">
      <c r="B625" s="101"/>
      <c r="C625" s="101"/>
      <c r="G625" s="101"/>
    </row>
    <row r="626">
      <c r="B626" s="101"/>
      <c r="C626" s="101"/>
      <c r="G626" s="101"/>
    </row>
    <row r="627">
      <c r="B627" s="101"/>
      <c r="C627" s="101"/>
      <c r="G627" s="101"/>
    </row>
    <row r="628">
      <c r="B628" s="101"/>
      <c r="C628" s="101"/>
      <c r="G628" s="101"/>
    </row>
    <row r="629">
      <c r="B629" s="101"/>
      <c r="C629" s="101"/>
      <c r="G629" s="101"/>
    </row>
    <row r="630">
      <c r="B630" s="101"/>
      <c r="C630" s="101"/>
      <c r="G630" s="101"/>
    </row>
    <row r="631">
      <c r="B631" s="101"/>
      <c r="C631" s="101"/>
      <c r="G631" s="101"/>
    </row>
    <row r="632">
      <c r="B632" s="101"/>
      <c r="C632" s="101"/>
      <c r="G632" s="101"/>
    </row>
    <row r="633">
      <c r="B633" s="101"/>
      <c r="C633" s="101"/>
      <c r="G633" s="101"/>
    </row>
    <row r="634">
      <c r="B634" s="101"/>
      <c r="C634" s="101"/>
      <c r="G634" s="101"/>
    </row>
    <row r="635">
      <c r="B635" s="101"/>
      <c r="C635" s="101"/>
      <c r="G635" s="101"/>
    </row>
    <row r="636">
      <c r="B636" s="101"/>
      <c r="C636" s="101"/>
      <c r="G636" s="101"/>
    </row>
    <row r="637">
      <c r="B637" s="101"/>
      <c r="C637" s="101"/>
      <c r="G637" s="101"/>
    </row>
    <row r="638">
      <c r="B638" s="101"/>
      <c r="C638" s="101"/>
      <c r="G638" s="101"/>
    </row>
    <row r="639">
      <c r="B639" s="101"/>
      <c r="C639" s="101"/>
      <c r="G639" s="101"/>
    </row>
    <row r="640">
      <c r="B640" s="101"/>
      <c r="C640" s="101"/>
      <c r="G640" s="101"/>
    </row>
    <row r="641">
      <c r="B641" s="101"/>
      <c r="C641" s="101"/>
      <c r="G641" s="101"/>
    </row>
    <row r="642">
      <c r="B642" s="101"/>
      <c r="C642" s="101"/>
      <c r="G642" s="101"/>
    </row>
    <row r="643">
      <c r="B643" s="101"/>
      <c r="C643" s="101"/>
      <c r="G643" s="101"/>
    </row>
    <row r="644">
      <c r="B644" s="101"/>
      <c r="C644" s="101"/>
      <c r="G644" s="101"/>
    </row>
    <row r="645">
      <c r="B645" s="101"/>
      <c r="C645" s="101"/>
      <c r="G645" s="101"/>
    </row>
    <row r="646">
      <c r="B646" s="101"/>
      <c r="C646" s="101"/>
      <c r="G646" s="101"/>
    </row>
    <row r="647">
      <c r="B647" s="101"/>
      <c r="C647" s="101"/>
      <c r="G647" s="101"/>
    </row>
    <row r="648">
      <c r="B648" s="101"/>
      <c r="C648" s="101"/>
      <c r="G648" s="101"/>
    </row>
    <row r="649">
      <c r="B649" s="101"/>
      <c r="C649" s="101"/>
      <c r="G649" s="101"/>
    </row>
    <row r="650">
      <c r="B650" s="101"/>
      <c r="C650" s="101"/>
      <c r="G650" s="101"/>
    </row>
    <row r="651">
      <c r="B651" s="101"/>
      <c r="C651" s="101"/>
      <c r="G651" s="101"/>
    </row>
    <row r="652">
      <c r="B652" s="101"/>
      <c r="C652" s="101"/>
      <c r="G652" s="101"/>
    </row>
    <row r="653">
      <c r="B653" s="101"/>
      <c r="C653" s="101"/>
      <c r="G653" s="101"/>
    </row>
    <row r="654">
      <c r="B654" s="101"/>
      <c r="C654" s="101"/>
      <c r="G654" s="101"/>
    </row>
    <row r="655">
      <c r="B655" s="101"/>
      <c r="C655" s="101"/>
      <c r="G655" s="101"/>
    </row>
    <row r="656">
      <c r="B656" s="101"/>
      <c r="C656" s="101"/>
      <c r="G656" s="101"/>
    </row>
    <row r="657">
      <c r="B657" s="101"/>
      <c r="C657" s="101"/>
      <c r="G657" s="101"/>
    </row>
    <row r="658">
      <c r="B658" s="101"/>
      <c r="C658" s="101"/>
      <c r="G658" s="101"/>
    </row>
    <row r="659">
      <c r="B659" s="101"/>
      <c r="C659" s="101"/>
      <c r="G659" s="101"/>
    </row>
    <row r="660">
      <c r="B660" s="101"/>
      <c r="C660" s="101"/>
      <c r="G660" s="101"/>
    </row>
    <row r="661">
      <c r="B661" s="101"/>
      <c r="C661" s="101"/>
      <c r="G661" s="101"/>
    </row>
    <row r="662">
      <c r="B662" s="101"/>
      <c r="C662" s="101"/>
      <c r="G662" s="101"/>
    </row>
    <row r="663">
      <c r="B663" s="101"/>
      <c r="C663" s="101"/>
      <c r="G663" s="101"/>
    </row>
    <row r="664">
      <c r="B664" s="101"/>
      <c r="C664" s="101"/>
      <c r="G664" s="101"/>
    </row>
    <row r="665">
      <c r="B665" s="101"/>
      <c r="C665" s="101"/>
      <c r="G665" s="101"/>
    </row>
    <row r="666">
      <c r="B666" s="101"/>
      <c r="C666" s="101"/>
      <c r="G666" s="101"/>
    </row>
    <row r="667">
      <c r="B667" s="101"/>
      <c r="C667" s="101"/>
      <c r="G667" s="101"/>
    </row>
    <row r="668">
      <c r="B668" s="101"/>
      <c r="C668" s="101"/>
      <c r="G668" s="101"/>
    </row>
    <row r="669">
      <c r="B669" s="101"/>
      <c r="C669" s="101"/>
      <c r="G669" s="101"/>
    </row>
    <row r="670">
      <c r="B670" s="101"/>
      <c r="C670" s="101"/>
      <c r="G670" s="101"/>
    </row>
    <row r="671">
      <c r="B671" s="101"/>
      <c r="C671" s="101"/>
      <c r="G671" s="101"/>
    </row>
    <row r="672">
      <c r="B672" s="101"/>
      <c r="C672" s="101"/>
      <c r="G672" s="101"/>
    </row>
    <row r="673">
      <c r="B673" s="101"/>
      <c r="C673" s="101"/>
      <c r="G673" s="101"/>
    </row>
    <row r="674">
      <c r="B674" s="101"/>
      <c r="C674" s="101"/>
      <c r="G674" s="101"/>
    </row>
    <row r="675">
      <c r="B675" s="101"/>
      <c r="C675" s="101"/>
      <c r="G675" s="101"/>
    </row>
    <row r="676">
      <c r="B676" s="101"/>
      <c r="C676" s="101"/>
      <c r="G676" s="101"/>
    </row>
    <row r="677">
      <c r="B677" s="101"/>
      <c r="C677" s="101"/>
      <c r="G677" s="101"/>
    </row>
    <row r="678">
      <c r="B678" s="101"/>
      <c r="C678" s="101"/>
      <c r="G678" s="101"/>
    </row>
    <row r="679">
      <c r="B679" s="101"/>
      <c r="C679" s="101"/>
      <c r="G679" s="101"/>
    </row>
    <row r="680">
      <c r="B680" s="101"/>
      <c r="C680" s="101"/>
      <c r="G680" s="101"/>
    </row>
    <row r="681">
      <c r="B681" s="101"/>
      <c r="C681" s="101"/>
      <c r="G681" s="101"/>
    </row>
    <row r="682">
      <c r="B682" s="101"/>
      <c r="C682" s="101"/>
      <c r="G682" s="101"/>
    </row>
    <row r="683">
      <c r="B683" s="101"/>
      <c r="C683" s="101"/>
      <c r="G683" s="101"/>
    </row>
    <row r="684">
      <c r="B684" s="101"/>
      <c r="C684" s="101"/>
      <c r="G684" s="101"/>
    </row>
    <row r="685">
      <c r="B685" s="101"/>
      <c r="C685" s="101"/>
      <c r="G685" s="101"/>
    </row>
    <row r="686">
      <c r="B686" s="101"/>
      <c r="C686" s="101"/>
      <c r="G686" s="101"/>
    </row>
    <row r="687">
      <c r="B687" s="101"/>
      <c r="C687" s="101"/>
      <c r="G687" s="101"/>
    </row>
    <row r="688">
      <c r="B688" s="101"/>
      <c r="C688" s="101"/>
      <c r="G688" s="101"/>
    </row>
    <row r="689">
      <c r="B689" s="101"/>
      <c r="C689" s="101"/>
      <c r="G689" s="101"/>
    </row>
    <row r="690">
      <c r="B690" s="101"/>
      <c r="C690" s="101"/>
      <c r="G690" s="101"/>
    </row>
    <row r="691">
      <c r="B691" s="101"/>
      <c r="C691" s="101"/>
      <c r="G691" s="101"/>
    </row>
    <row r="692">
      <c r="B692" s="101"/>
      <c r="C692" s="101"/>
      <c r="G692" s="101"/>
    </row>
    <row r="693">
      <c r="B693" s="101"/>
      <c r="C693" s="101"/>
      <c r="G693" s="101"/>
    </row>
    <row r="694">
      <c r="B694" s="101"/>
      <c r="C694" s="101"/>
      <c r="G694" s="101"/>
    </row>
    <row r="695">
      <c r="B695" s="101"/>
      <c r="C695" s="101"/>
      <c r="G695" s="101"/>
    </row>
    <row r="696">
      <c r="B696" s="101"/>
      <c r="C696" s="101"/>
      <c r="G696" s="101"/>
    </row>
    <row r="697">
      <c r="B697" s="101"/>
      <c r="C697" s="101"/>
      <c r="G697" s="101"/>
    </row>
    <row r="698">
      <c r="B698" s="101"/>
      <c r="C698" s="101"/>
      <c r="G698" s="101"/>
    </row>
    <row r="699">
      <c r="B699" s="101"/>
      <c r="C699" s="101"/>
      <c r="G699" s="101"/>
    </row>
    <row r="700">
      <c r="B700" s="101"/>
      <c r="C700" s="101"/>
      <c r="G700" s="101"/>
    </row>
    <row r="701">
      <c r="B701" s="101"/>
      <c r="C701" s="101"/>
      <c r="G701" s="101"/>
    </row>
    <row r="702">
      <c r="B702" s="101"/>
      <c r="C702" s="101"/>
      <c r="G702" s="101"/>
    </row>
    <row r="703">
      <c r="B703" s="101"/>
      <c r="C703" s="101"/>
      <c r="G703" s="101"/>
    </row>
    <row r="704">
      <c r="B704" s="101"/>
      <c r="C704" s="101"/>
      <c r="G704" s="101"/>
    </row>
    <row r="705">
      <c r="B705" s="101"/>
      <c r="C705" s="101"/>
      <c r="G705" s="101"/>
    </row>
    <row r="706">
      <c r="B706" s="101"/>
      <c r="C706" s="101"/>
      <c r="G706" s="101"/>
    </row>
    <row r="707">
      <c r="B707" s="101"/>
      <c r="C707" s="101"/>
      <c r="G707" s="101"/>
    </row>
    <row r="708">
      <c r="B708" s="101"/>
      <c r="C708" s="101"/>
      <c r="G708" s="101"/>
    </row>
    <row r="709">
      <c r="B709" s="101"/>
      <c r="C709" s="101"/>
      <c r="G709" s="101"/>
    </row>
    <row r="710">
      <c r="B710" s="101"/>
      <c r="C710" s="101"/>
      <c r="G710" s="101"/>
    </row>
    <row r="711">
      <c r="B711" s="101"/>
      <c r="C711" s="101"/>
      <c r="G711" s="101"/>
    </row>
    <row r="712">
      <c r="B712" s="101"/>
      <c r="C712" s="101"/>
      <c r="G712" s="101"/>
    </row>
    <row r="713">
      <c r="B713" s="101"/>
      <c r="C713" s="101"/>
      <c r="G713" s="101"/>
    </row>
    <row r="714">
      <c r="B714" s="101"/>
      <c r="C714" s="101"/>
      <c r="G714" s="101"/>
    </row>
    <row r="715">
      <c r="B715" s="101"/>
      <c r="C715" s="101"/>
      <c r="G715" s="101"/>
    </row>
    <row r="716">
      <c r="B716" s="101"/>
      <c r="C716" s="101"/>
      <c r="G716" s="101"/>
    </row>
    <row r="717">
      <c r="B717" s="101"/>
      <c r="C717" s="101"/>
      <c r="G717" s="101"/>
    </row>
    <row r="718">
      <c r="B718" s="101"/>
      <c r="C718" s="101"/>
      <c r="G718" s="101"/>
    </row>
    <row r="719">
      <c r="B719" s="101"/>
      <c r="C719" s="101"/>
      <c r="G719" s="101"/>
    </row>
    <row r="720">
      <c r="B720" s="101"/>
      <c r="C720" s="101"/>
      <c r="G720" s="101"/>
    </row>
    <row r="721">
      <c r="B721" s="101"/>
      <c r="C721" s="101"/>
      <c r="G721" s="101"/>
    </row>
    <row r="722">
      <c r="B722" s="101"/>
      <c r="C722" s="101"/>
      <c r="G722" s="101"/>
    </row>
    <row r="723">
      <c r="B723" s="101"/>
      <c r="C723" s="101"/>
      <c r="G723" s="101"/>
    </row>
    <row r="724">
      <c r="B724" s="101"/>
      <c r="C724" s="101"/>
      <c r="G724" s="101"/>
    </row>
    <row r="725">
      <c r="B725" s="101"/>
      <c r="C725" s="101"/>
      <c r="G725" s="101"/>
    </row>
    <row r="726">
      <c r="B726" s="101"/>
      <c r="C726" s="101"/>
      <c r="G726" s="101"/>
    </row>
    <row r="727">
      <c r="B727" s="101"/>
      <c r="C727" s="101"/>
      <c r="G727" s="101"/>
    </row>
    <row r="728">
      <c r="B728" s="101"/>
      <c r="C728" s="101"/>
      <c r="G728" s="101"/>
    </row>
    <row r="729">
      <c r="B729" s="101"/>
      <c r="C729" s="101"/>
      <c r="G729" s="101"/>
    </row>
    <row r="730">
      <c r="B730" s="101"/>
      <c r="C730" s="101"/>
      <c r="G730" s="101"/>
    </row>
    <row r="731">
      <c r="B731" s="101"/>
      <c r="C731" s="101"/>
      <c r="G731" s="101"/>
    </row>
    <row r="732">
      <c r="B732" s="101"/>
      <c r="C732" s="101"/>
      <c r="G732" s="101"/>
    </row>
    <row r="733">
      <c r="B733" s="101"/>
      <c r="C733" s="101"/>
      <c r="G733" s="101"/>
    </row>
    <row r="734">
      <c r="B734" s="101"/>
      <c r="C734" s="101"/>
      <c r="G734" s="101"/>
    </row>
    <row r="735">
      <c r="B735" s="101"/>
      <c r="C735" s="101"/>
      <c r="G735" s="101"/>
    </row>
    <row r="736">
      <c r="B736" s="101"/>
      <c r="C736" s="101"/>
      <c r="G736" s="101"/>
    </row>
    <row r="737">
      <c r="B737" s="101"/>
      <c r="C737" s="101"/>
      <c r="G737" s="101"/>
    </row>
    <row r="738">
      <c r="B738" s="101"/>
      <c r="C738" s="101"/>
      <c r="G738" s="101"/>
    </row>
    <row r="739">
      <c r="B739" s="101"/>
      <c r="C739" s="101"/>
      <c r="G739" s="101"/>
    </row>
    <row r="740">
      <c r="B740" s="101"/>
      <c r="C740" s="101"/>
      <c r="G740" s="101"/>
    </row>
    <row r="741">
      <c r="B741" s="101"/>
      <c r="C741" s="101"/>
      <c r="G741" s="101"/>
    </row>
    <row r="742">
      <c r="B742" s="101"/>
      <c r="C742" s="101"/>
      <c r="G742" s="101"/>
    </row>
    <row r="743">
      <c r="B743" s="101"/>
      <c r="C743" s="101"/>
      <c r="G743" s="101"/>
    </row>
    <row r="744">
      <c r="B744" s="101"/>
      <c r="C744" s="101"/>
      <c r="G744" s="101"/>
    </row>
    <row r="745">
      <c r="B745" s="101"/>
      <c r="C745" s="101"/>
      <c r="G745" s="101"/>
    </row>
    <row r="746">
      <c r="B746" s="101"/>
      <c r="C746" s="101"/>
      <c r="G746" s="101"/>
    </row>
    <row r="747">
      <c r="B747" s="101"/>
      <c r="C747" s="101"/>
      <c r="G747" s="101"/>
    </row>
    <row r="748">
      <c r="B748" s="101"/>
      <c r="C748" s="101"/>
      <c r="G748" s="101"/>
    </row>
    <row r="749">
      <c r="B749" s="101"/>
      <c r="C749" s="101"/>
      <c r="G749" s="101"/>
    </row>
    <row r="750">
      <c r="B750" s="101"/>
      <c r="C750" s="101"/>
      <c r="G750" s="101"/>
    </row>
    <row r="751">
      <c r="B751" s="101"/>
      <c r="C751" s="101"/>
      <c r="G751" s="101"/>
    </row>
    <row r="752">
      <c r="B752" s="101"/>
      <c r="C752" s="101"/>
      <c r="G752" s="101"/>
    </row>
    <row r="753">
      <c r="B753" s="101"/>
      <c r="C753" s="101"/>
      <c r="G753" s="101"/>
    </row>
    <row r="754">
      <c r="B754" s="101"/>
      <c r="C754" s="101"/>
      <c r="G754" s="101"/>
    </row>
    <row r="755">
      <c r="B755" s="101"/>
      <c r="C755" s="101"/>
      <c r="G755" s="101"/>
    </row>
    <row r="756">
      <c r="B756" s="101"/>
      <c r="C756" s="101"/>
      <c r="G756" s="101"/>
    </row>
    <row r="757">
      <c r="B757" s="101"/>
      <c r="C757" s="101"/>
      <c r="G757" s="101"/>
    </row>
    <row r="758">
      <c r="B758" s="101"/>
      <c r="C758" s="101"/>
      <c r="G758" s="101"/>
    </row>
    <row r="759">
      <c r="B759" s="101"/>
      <c r="C759" s="101"/>
      <c r="G759" s="101"/>
    </row>
    <row r="760">
      <c r="B760" s="101"/>
      <c r="C760" s="101"/>
      <c r="G760" s="101"/>
    </row>
    <row r="761">
      <c r="B761" s="101"/>
      <c r="C761" s="101"/>
      <c r="G761" s="101"/>
    </row>
    <row r="762">
      <c r="B762" s="101"/>
      <c r="C762" s="101"/>
      <c r="G762" s="101"/>
    </row>
    <row r="763">
      <c r="B763" s="101"/>
      <c r="C763" s="101"/>
      <c r="G763" s="101"/>
    </row>
    <row r="764">
      <c r="B764" s="101"/>
      <c r="C764" s="101"/>
      <c r="G764" s="101"/>
    </row>
    <row r="765">
      <c r="B765" s="101"/>
      <c r="C765" s="101"/>
      <c r="G765" s="101"/>
    </row>
    <row r="766">
      <c r="B766" s="101"/>
      <c r="C766" s="101"/>
      <c r="G766" s="101"/>
    </row>
    <row r="767">
      <c r="B767" s="101"/>
      <c r="C767" s="101"/>
      <c r="G767" s="101"/>
    </row>
    <row r="768">
      <c r="B768" s="101"/>
      <c r="C768" s="101"/>
      <c r="G768" s="101"/>
    </row>
    <row r="769">
      <c r="B769" s="101"/>
      <c r="C769" s="101"/>
      <c r="G769" s="101"/>
    </row>
    <row r="770">
      <c r="B770" s="101"/>
      <c r="C770" s="101"/>
      <c r="G770" s="101"/>
    </row>
    <row r="771">
      <c r="B771" s="101"/>
      <c r="C771" s="101"/>
      <c r="G771" s="101"/>
    </row>
    <row r="772">
      <c r="B772" s="101"/>
      <c r="C772" s="101"/>
      <c r="G772" s="101"/>
    </row>
    <row r="773">
      <c r="B773" s="101"/>
      <c r="C773" s="101"/>
      <c r="G773" s="101"/>
    </row>
    <row r="774">
      <c r="B774" s="101"/>
      <c r="C774" s="101"/>
      <c r="G774" s="101"/>
    </row>
    <row r="775">
      <c r="B775" s="101"/>
      <c r="C775" s="101"/>
      <c r="G775" s="101"/>
    </row>
    <row r="776">
      <c r="B776" s="101"/>
      <c r="C776" s="101"/>
      <c r="G776" s="101"/>
    </row>
    <row r="777">
      <c r="B777" s="101"/>
      <c r="C777" s="101"/>
      <c r="G777" s="101"/>
    </row>
    <row r="778">
      <c r="B778" s="101"/>
      <c r="C778" s="101"/>
      <c r="G778" s="101"/>
    </row>
    <row r="779">
      <c r="B779" s="101"/>
      <c r="C779" s="101"/>
      <c r="G779" s="101"/>
    </row>
    <row r="780">
      <c r="B780" s="101"/>
      <c r="C780" s="101"/>
      <c r="G780" s="101"/>
    </row>
    <row r="781">
      <c r="B781" s="101"/>
      <c r="C781" s="101"/>
      <c r="G781" s="101"/>
    </row>
    <row r="782">
      <c r="B782" s="101"/>
      <c r="C782" s="101"/>
      <c r="G782" s="101"/>
    </row>
    <row r="783">
      <c r="B783" s="101"/>
      <c r="C783" s="101"/>
      <c r="G783" s="101"/>
    </row>
    <row r="784">
      <c r="B784" s="101"/>
      <c r="C784" s="101"/>
      <c r="G784" s="101"/>
    </row>
    <row r="785">
      <c r="B785" s="101"/>
      <c r="C785" s="101"/>
      <c r="G785" s="101"/>
    </row>
    <row r="786">
      <c r="B786" s="101"/>
      <c r="C786" s="101"/>
      <c r="G786" s="101"/>
    </row>
    <row r="787">
      <c r="B787" s="101"/>
      <c r="C787" s="101"/>
      <c r="G787" s="101"/>
    </row>
    <row r="788">
      <c r="B788" s="101"/>
      <c r="C788" s="101"/>
      <c r="G788" s="101"/>
    </row>
    <row r="789">
      <c r="B789" s="101"/>
      <c r="C789" s="101"/>
      <c r="G789" s="101"/>
    </row>
    <row r="790">
      <c r="B790" s="101"/>
      <c r="C790" s="101"/>
      <c r="G790" s="101"/>
    </row>
    <row r="791">
      <c r="B791" s="101"/>
      <c r="C791" s="101"/>
      <c r="G791" s="101"/>
    </row>
    <row r="792">
      <c r="B792" s="101"/>
      <c r="C792" s="101"/>
      <c r="G792" s="101"/>
    </row>
    <row r="793">
      <c r="B793" s="101"/>
      <c r="C793" s="101"/>
      <c r="G793" s="101"/>
    </row>
    <row r="794">
      <c r="B794" s="101"/>
      <c r="C794" s="101"/>
      <c r="G794" s="101"/>
    </row>
    <row r="795">
      <c r="B795" s="101"/>
      <c r="C795" s="101"/>
      <c r="G795" s="101"/>
    </row>
    <row r="796">
      <c r="B796" s="101"/>
      <c r="C796" s="101"/>
      <c r="G796" s="101"/>
    </row>
    <row r="797">
      <c r="B797" s="101"/>
      <c r="C797" s="101"/>
      <c r="G797" s="101"/>
    </row>
    <row r="798">
      <c r="B798" s="101"/>
      <c r="C798" s="101"/>
      <c r="G798" s="101"/>
    </row>
    <row r="799">
      <c r="B799" s="101"/>
      <c r="C799" s="101"/>
      <c r="G799" s="101"/>
    </row>
    <row r="800">
      <c r="B800" s="101"/>
      <c r="C800" s="101"/>
      <c r="G800" s="101"/>
    </row>
    <row r="801">
      <c r="B801" s="101"/>
      <c r="C801" s="101"/>
      <c r="G801" s="101"/>
    </row>
    <row r="802">
      <c r="B802" s="101"/>
      <c r="C802" s="101"/>
      <c r="G802" s="101"/>
    </row>
    <row r="803">
      <c r="B803" s="101"/>
      <c r="C803" s="101"/>
      <c r="G803" s="101"/>
    </row>
    <row r="804">
      <c r="B804" s="101"/>
      <c r="C804" s="101"/>
      <c r="G804" s="101"/>
    </row>
    <row r="805">
      <c r="B805" s="101"/>
      <c r="C805" s="101"/>
      <c r="G805" s="101"/>
    </row>
    <row r="806">
      <c r="B806" s="101"/>
      <c r="C806" s="101"/>
      <c r="G806" s="101"/>
    </row>
    <row r="807">
      <c r="B807" s="101"/>
      <c r="C807" s="101"/>
      <c r="G807" s="101"/>
    </row>
    <row r="808">
      <c r="B808" s="101"/>
      <c r="C808" s="101"/>
      <c r="G808" s="101"/>
    </row>
    <row r="809">
      <c r="B809" s="101"/>
      <c r="C809" s="101"/>
      <c r="G809" s="101"/>
    </row>
    <row r="810">
      <c r="B810" s="101"/>
      <c r="C810" s="101"/>
      <c r="G810" s="101"/>
    </row>
    <row r="811">
      <c r="B811" s="101"/>
      <c r="C811" s="101"/>
      <c r="G811" s="101"/>
    </row>
    <row r="812">
      <c r="B812" s="101"/>
      <c r="C812" s="101"/>
      <c r="G812" s="101"/>
    </row>
    <row r="813">
      <c r="B813" s="101"/>
      <c r="C813" s="101"/>
      <c r="G813" s="101"/>
    </row>
    <row r="814">
      <c r="B814" s="101"/>
      <c r="C814" s="101"/>
      <c r="G814" s="101"/>
    </row>
    <row r="815">
      <c r="B815" s="101"/>
      <c r="C815" s="101"/>
      <c r="G815" s="101"/>
    </row>
    <row r="816">
      <c r="B816" s="101"/>
      <c r="C816" s="101"/>
      <c r="G816" s="101"/>
    </row>
    <row r="817">
      <c r="B817" s="101"/>
      <c r="C817" s="101"/>
      <c r="G817" s="101"/>
    </row>
    <row r="818">
      <c r="B818" s="101"/>
      <c r="C818" s="101"/>
      <c r="G818" s="101"/>
    </row>
    <row r="819">
      <c r="B819" s="101"/>
      <c r="C819" s="101"/>
      <c r="G819" s="101"/>
    </row>
    <row r="820">
      <c r="B820" s="101"/>
      <c r="C820" s="101"/>
      <c r="G820" s="101"/>
    </row>
    <row r="821">
      <c r="B821" s="101"/>
      <c r="C821" s="101"/>
      <c r="G821" s="101"/>
    </row>
    <row r="822">
      <c r="B822" s="101"/>
      <c r="C822" s="101"/>
      <c r="G822" s="101"/>
    </row>
    <row r="823">
      <c r="B823" s="101"/>
      <c r="C823" s="101"/>
      <c r="G823" s="101"/>
    </row>
    <row r="824">
      <c r="B824" s="101"/>
      <c r="C824" s="101"/>
      <c r="G824" s="101"/>
    </row>
    <row r="825">
      <c r="B825" s="101"/>
      <c r="C825" s="101"/>
      <c r="G825" s="101"/>
    </row>
    <row r="826">
      <c r="B826" s="101"/>
      <c r="C826" s="101"/>
      <c r="G826" s="101"/>
    </row>
    <row r="827">
      <c r="B827" s="101"/>
      <c r="C827" s="101"/>
      <c r="G827" s="101"/>
    </row>
    <row r="828">
      <c r="B828" s="101"/>
      <c r="C828" s="101"/>
      <c r="G828" s="101"/>
    </row>
    <row r="829">
      <c r="B829" s="101"/>
      <c r="C829" s="101"/>
      <c r="G829" s="101"/>
    </row>
    <row r="830">
      <c r="B830" s="101"/>
      <c r="C830" s="101"/>
      <c r="G830" s="101"/>
    </row>
    <row r="831">
      <c r="B831" s="101"/>
      <c r="C831" s="101"/>
      <c r="G831" s="101"/>
    </row>
    <row r="832">
      <c r="B832" s="101"/>
      <c r="C832" s="101"/>
      <c r="G832" s="101"/>
    </row>
    <row r="833">
      <c r="B833" s="101"/>
      <c r="C833" s="101"/>
      <c r="G833" s="101"/>
    </row>
    <row r="834">
      <c r="B834" s="101"/>
      <c r="C834" s="101"/>
      <c r="G834" s="101"/>
    </row>
    <row r="835">
      <c r="B835" s="101"/>
      <c r="C835" s="101"/>
      <c r="G835" s="101"/>
    </row>
    <row r="836">
      <c r="B836" s="101"/>
      <c r="C836" s="101"/>
      <c r="G836" s="101"/>
    </row>
    <row r="837">
      <c r="B837" s="101"/>
      <c r="C837" s="101"/>
      <c r="G837" s="101"/>
    </row>
    <row r="838">
      <c r="B838" s="101"/>
      <c r="C838" s="101"/>
      <c r="G838" s="101"/>
    </row>
    <row r="839">
      <c r="B839" s="101"/>
      <c r="C839" s="101"/>
      <c r="G839" s="101"/>
    </row>
    <row r="840">
      <c r="B840" s="101"/>
      <c r="C840" s="101"/>
      <c r="G840" s="101"/>
    </row>
    <row r="841">
      <c r="B841" s="101"/>
      <c r="C841" s="101"/>
      <c r="G841" s="101"/>
    </row>
    <row r="842">
      <c r="B842" s="101"/>
      <c r="C842" s="101"/>
      <c r="G842" s="101"/>
    </row>
    <row r="843">
      <c r="B843" s="101"/>
      <c r="C843" s="101"/>
      <c r="G843" s="101"/>
    </row>
    <row r="844">
      <c r="B844" s="101"/>
      <c r="C844" s="101"/>
      <c r="G844" s="101"/>
    </row>
    <row r="845">
      <c r="B845" s="101"/>
      <c r="C845" s="101"/>
      <c r="G845" s="101"/>
    </row>
    <row r="846">
      <c r="B846" s="101"/>
      <c r="C846" s="101"/>
      <c r="G846" s="101"/>
    </row>
    <row r="847">
      <c r="B847" s="101"/>
      <c r="C847" s="101"/>
      <c r="G847" s="101"/>
    </row>
    <row r="848">
      <c r="B848" s="101"/>
      <c r="C848" s="101"/>
      <c r="G848" s="101"/>
    </row>
    <row r="849">
      <c r="B849" s="101"/>
      <c r="C849" s="101"/>
      <c r="G849" s="101"/>
    </row>
    <row r="850">
      <c r="B850" s="101"/>
      <c r="C850" s="101"/>
      <c r="G850" s="101"/>
    </row>
    <row r="851">
      <c r="B851" s="101"/>
      <c r="C851" s="101"/>
      <c r="G851" s="101"/>
    </row>
    <row r="852">
      <c r="B852" s="101"/>
      <c r="C852" s="101"/>
      <c r="G852" s="101"/>
    </row>
    <row r="853">
      <c r="B853" s="101"/>
      <c r="C853" s="101"/>
      <c r="G853" s="101"/>
    </row>
    <row r="854">
      <c r="B854" s="101"/>
      <c r="C854" s="101"/>
      <c r="G854" s="101"/>
    </row>
    <row r="855">
      <c r="B855" s="101"/>
      <c r="C855" s="101"/>
      <c r="G855" s="101"/>
    </row>
    <row r="856">
      <c r="B856" s="101"/>
      <c r="C856" s="101"/>
      <c r="G856" s="101"/>
    </row>
    <row r="857">
      <c r="B857" s="101"/>
      <c r="C857" s="101"/>
      <c r="G857" s="101"/>
    </row>
    <row r="858">
      <c r="B858" s="101"/>
      <c r="C858" s="101"/>
      <c r="G858" s="101"/>
    </row>
    <row r="859">
      <c r="B859" s="101"/>
      <c r="C859" s="101"/>
      <c r="G859" s="101"/>
    </row>
    <row r="860">
      <c r="B860" s="101"/>
      <c r="C860" s="101"/>
      <c r="G860" s="101"/>
    </row>
    <row r="861">
      <c r="B861" s="101"/>
      <c r="C861" s="101"/>
      <c r="G861" s="101"/>
    </row>
    <row r="862">
      <c r="B862" s="101"/>
      <c r="C862" s="101"/>
      <c r="G862" s="101"/>
    </row>
    <row r="863">
      <c r="B863" s="101"/>
      <c r="C863" s="101"/>
      <c r="G863" s="101"/>
    </row>
    <row r="864">
      <c r="B864" s="101"/>
      <c r="C864" s="101"/>
      <c r="G864" s="101"/>
    </row>
    <row r="865">
      <c r="B865" s="101"/>
      <c r="C865" s="101"/>
      <c r="G865" s="101"/>
    </row>
    <row r="866">
      <c r="B866" s="101"/>
      <c r="C866" s="101"/>
      <c r="G866" s="101"/>
    </row>
    <row r="867">
      <c r="B867" s="101"/>
      <c r="C867" s="101"/>
      <c r="G867" s="101"/>
    </row>
    <row r="868">
      <c r="B868" s="101"/>
      <c r="C868" s="101"/>
      <c r="G868" s="101"/>
    </row>
    <row r="869">
      <c r="B869" s="101"/>
      <c r="C869" s="101"/>
      <c r="G869" s="101"/>
    </row>
    <row r="870">
      <c r="B870" s="101"/>
      <c r="C870" s="101"/>
      <c r="G870" s="101"/>
    </row>
    <row r="871">
      <c r="B871" s="101"/>
      <c r="C871" s="101"/>
      <c r="G871" s="101"/>
    </row>
    <row r="872">
      <c r="B872" s="101"/>
      <c r="C872" s="101"/>
      <c r="G872" s="101"/>
    </row>
    <row r="873">
      <c r="B873" s="101"/>
      <c r="C873" s="101"/>
      <c r="G873" s="101"/>
    </row>
    <row r="874">
      <c r="B874" s="101"/>
      <c r="C874" s="101"/>
      <c r="G874" s="101"/>
    </row>
    <row r="875">
      <c r="B875" s="101"/>
      <c r="C875" s="101"/>
      <c r="G875" s="101"/>
    </row>
    <row r="876">
      <c r="B876" s="101"/>
      <c r="C876" s="101"/>
      <c r="G876" s="101"/>
    </row>
    <row r="877">
      <c r="B877" s="101"/>
      <c r="C877" s="101"/>
      <c r="G877" s="101"/>
    </row>
    <row r="878">
      <c r="B878" s="101"/>
      <c r="C878" s="101"/>
      <c r="G878" s="101"/>
    </row>
    <row r="879">
      <c r="B879" s="101"/>
      <c r="C879" s="101"/>
      <c r="G879" s="101"/>
    </row>
    <row r="880">
      <c r="B880" s="101"/>
      <c r="C880" s="101"/>
      <c r="G880" s="101"/>
    </row>
    <row r="881">
      <c r="B881" s="101"/>
      <c r="C881" s="101"/>
      <c r="G881" s="101"/>
    </row>
    <row r="882">
      <c r="B882" s="101"/>
      <c r="C882" s="101"/>
      <c r="G882" s="101"/>
    </row>
    <row r="883">
      <c r="B883" s="101"/>
      <c r="C883" s="101"/>
      <c r="G883" s="101"/>
    </row>
    <row r="884">
      <c r="B884" s="101"/>
      <c r="C884" s="101"/>
      <c r="G884" s="101"/>
    </row>
    <row r="885">
      <c r="B885" s="101"/>
      <c r="C885" s="101"/>
      <c r="G885" s="101"/>
    </row>
    <row r="886">
      <c r="B886" s="101"/>
      <c r="C886" s="101"/>
      <c r="G886" s="101"/>
    </row>
    <row r="887">
      <c r="B887" s="101"/>
      <c r="C887" s="101"/>
      <c r="G887" s="101"/>
    </row>
    <row r="888">
      <c r="B888" s="101"/>
      <c r="C888" s="101"/>
      <c r="G888" s="101"/>
    </row>
    <row r="889">
      <c r="B889" s="101"/>
      <c r="C889" s="101"/>
      <c r="G889" s="101"/>
    </row>
    <row r="890">
      <c r="B890" s="101"/>
      <c r="C890" s="101"/>
      <c r="G890" s="101"/>
    </row>
    <row r="891">
      <c r="B891" s="101"/>
      <c r="C891" s="101"/>
      <c r="G891" s="101"/>
    </row>
    <row r="892">
      <c r="B892" s="101"/>
      <c r="C892" s="101"/>
      <c r="G892" s="101"/>
    </row>
    <row r="893">
      <c r="B893" s="101"/>
      <c r="C893" s="101"/>
      <c r="G893" s="101"/>
    </row>
    <row r="894">
      <c r="B894" s="101"/>
      <c r="C894" s="101"/>
      <c r="G894" s="101"/>
    </row>
    <row r="895">
      <c r="B895" s="101"/>
      <c r="C895" s="101"/>
      <c r="G895" s="101"/>
    </row>
    <row r="896">
      <c r="B896" s="101"/>
      <c r="C896" s="101"/>
      <c r="G896" s="101"/>
    </row>
    <row r="897">
      <c r="B897" s="101"/>
      <c r="C897" s="101"/>
      <c r="G897" s="101"/>
    </row>
    <row r="898">
      <c r="B898" s="101"/>
      <c r="C898" s="101"/>
      <c r="G898" s="101"/>
    </row>
    <row r="899">
      <c r="B899" s="101"/>
      <c r="C899" s="101"/>
      <c r="G899" s="101"/>
    </row>
    <row r="900">
      <c r="B900" s="101"/>
      <c r="C900" s="101"/>
      <c r="G900" s="101"/>
    </row>
    <row r="901">
      <c r="B901" s="101"/>
      <c r="C901" s="101"/>
      <c r="G901" s="101"/>
    </row>
    <row r="902">
      <c r="B902" s="101"/>
      <c r="C902" s="101"/>
      <c r="G902" s="101"/>
    </row>
    <row r="903">
      <c r="B903" s="101"/>
      <c r="C903" s="101"/>
      <c r="G903" s="101"/>
    </row>
    <row r="904">
      <c r="B904" s="101"/>
      <c r="C904" s="101"/>
      <c r="G904" s="101"/>
    </row>
    <row r="905">
      <c r="B905" s="101"/>
      <c r="C905" s="101"/>
      <c r="G905" s="101"/>
    </row>
    <row r="906">
      <c r="B906" s="101"/>
      <c r="C906" s="101"/>
      <c r="G906" s="101"/>
    </row>
    <row r="907">
      <c r="B907" s="101"/>
      <c r="C907" s="101"/>
      <c r="G907" s="101"/>
    </row>
    <row r="908">
      <c r="B908" s="101"/>
      <c r="C908" s="101"/>
      <c r="G908" s="101"/>
    </row>
    <row r="909">
      <c r="B909" s="101"/>
      <c r="C909" s="101"/>
      <c r="G909" s="101"/>
    </row>
    <row r="910">
      <c r="B910" s="101"/>
      <c r="C910" s="101"/>
      <c r="G910" s="101"/>
    </row>
    <row r="911">
      <c r="B911" s="101"/>
      <c r="C911" s="101"/>
      <c r="G911" s="101"/>
    </row>
    <row r="912">
      <c r="B912" s="101"/>
      <c r="C912" s="101"/>
      <c r="G912" s="101"/>
    </row>
    <row r="913">
      <c r="B913" s="101"/>
      <c r="C913" s="101"/>
      <c r="G913" s="101"/>
    </row>
    <row r="914">
      <c r="B914" s="101"/>
      <c r="C914" s="101"/>
      <c r="G914" s="101"/>
    </row>
    <row r="915">
      <c r="B915" s="101"/>
      <c r="C915" s="101"/>
      <c r="G915" s="101"/>
    </row>
    <row r="916">
      <c r="B916" s="101"/>
      <c r="C916" s="101"/>
      <c r="G916" s="101"/>
    </row>
    <row r="917">
      <c r="B917" s="101"/>
      <c r="C917" s="101"/>
      <c r="G917" s="101"/>
    </row>
    <row r="918">
      <c r="B918" s="101"/>
      <c r="C918" s="101"/>
      <c r="G918" s="101"/>
    </row>
    <row r="919">
      <c r="B919" s="101"/>
      <c r="C919" s="101"/>
      <c r="G919" s="101"/>
    </row>
    <row r="920">
      <c r="B920" s="101"/>
      <c r="C920" s="101"/>
      <c r="G920" s="101"/>
    </row>
    <row r="921">
      <c r="B921" s="101"/>
      <c r="C921" s="101"/>
      <c r="G921" s="101"/>
    </row>
    <row r="922">
      <c r="B922" s="101"/>
      <c r="C922" s="101"/>
      <c r="G922" s="101"/>
    </row>
    <row r="923">
      <c r="B923" s="101"/>
      <c r="C923" s="101"/>
      <c r="G923" s="101"/>
    </row>
    <row r="924">
      <c r="B924" s="101"/>
      <c r="C924" s="101"/>
      <c r="G924" s="101"/>
    </row>
    <row r="925">
      <c r="B925" s="101"/>
      <c r="C925" s="101"/>
      <c r="G925" s="101"/>
    </row>
    <row r="926">
      <c r="B926" s="101"/>
      <c r="C926" s="101"/>
      <c r="G926" s="101"/>
    </row>
    <row r="927">
      <c r="B927" s="101"/>
      <c r="C927" s="101"/>
      <c r="G927" s="101"/>
    </row>
    <row r="928">
      <c r="B928" s="101"/>
      <c r="C928" s="101"/>
      <c r="G928" s="101"/>
    </row>
    <row r="929">
      <c r="B929" s="101"/>
      <c r="C929" s="101"/>
      <c r="G929" s="101"/>
    </row>
    <row r="930">
      <c r="B930" s="101"/>
      <c r="C930" s="101"/>
      <c r="G930" s="101"/>
    </row>
    <row r="931">
      <c r="B931" s="101"/>
      <c r="C931" s="101"/>
      <c r="G931" s="101"/>
    </row>
    <row r="932">
      <c r="B932" s="101"/>
      <c r="C932" s="101"/>
      <c r="G932" s="101"/>
    </row>
    <row r="933">
      <c r="B933" s="101"/>
      <c r="C933" s="101"/>
      <c r="G933" s="101"/>
    </row>
    <row r="934">
      <c r="B934" s="101"/>
      <c r="C934" s="101"/>
      <c r="G934" s="101"/>
    </row>
    <row r="935">
      <c r="B935" s="101"/>
      <c r="C935" s="101"/>
      <c r="G935" s="101"/>
    </row>
    <row r="936">
      <c r="B936" s="101"/>
      <c r="C936" s="101"/>
      <c r="G936" s="101"/>
    </row>
    <row r="937">
      <c r="B937" s="101"/>
      <c r="C937" s="101"/>
      <c r="G937" s="101"/>
    </row>
    <row r="938">
      <c r="B938" s="101"/>
      <c r="C938" s="101"/>
      <c r="G938" s="101"/>
    </row>
    <row r="939">
      <c r="B939" s="101"/>
      <c r="C939" s="101"/>
      <c r="G939" s="101"/>
    </row>
    <row r="940">
      <c r="B940" s="101"/>
      <c r="C940" s="101"/>
      <c r="G940" s="101"/>
    </row>
    <row r="941">
      <c r="B941" s="101"/>
      <c r="C941" s="101"/>
      <c r="G941" s="101"/>
    </row>
    <row r="942">
      <c r="B942" s="101"/>
      <c r="C942" s="101"/>
      <c r="G942" s="101"/>
    </row>
    <row r="943">
      <c r="B943" s="101"/>
      <c r="C943" s="101"/>
      <c r="G943" s="101"/>
    </row>
    <row r="944">
      <c r="B944" s="101"/>
      <c r="C944" s="101"/>
      <c r="G944" s="101"/>
    </row>
    <row r="945">
      <c r="B945" s="101"/>
      <c r="C945" s="101"/>
      <c r="G945" s="101"/>
    </row>
    <row r="946">
      <c r="B946" s="101"/>
      <c r="C946" s="101"/>
      <c r="G946" s="101"/>
    </row>
    <row r="947">
      <c r="B947" s="101"/>
      <c r="C947" s="101"/>
      <c r="G947" s="101"/>
    </row>
    <row r="948">
      <c r="B948" s="101"/>
      <c r="C948" s="101"/>
      <c r="G948" s="101"/>
    </row>
    <row r="949">
      <c r="B949" s="101"/>
      <c r="C949" s="101"/>
      <c r="G949" s="101"/>
    </row>
    <row r="950">
      <c r="B950" s="101"/>
      <c r="C950" s="101"/>
      <c r="G950" s="101"/>
    </row>
    <row r="951">
      <c r="B951" s="101"/>
      <c r="C951" s="101"/>
      <c r="G951" s="101"/>
    </row>
    <row r="952">
      <c r="B952" s="101"/>
      <c r="C952" s="101"/>
      <c r="G952" s="101"/>
    </row>
    <row r="953">
      <c r="B953" s="101"/>
      <c r="C953" s="101"/>
      <c r="G953" s="101"/>
    </row>
    <row r="954">
      <c r="B954" s="101"/>
      <c r="C954" s="101"/>
      <c r="G954" s="101"/>
    </row>
    <row r="955">
      <c r="B955" s="101"/>
      <c r="C955" s="101"/>
      <c r="G955" s="101"/>
    </row>
    <row r="956">
      <c r="B956" s="101"/>
      <c r="C956" s="101"/>
      <c r="G956" s="101"/>
    </row>
    <row r="957">
      <c r="B957" s="101"/>
      <c r="C957" s="101"/>
      <c r="G957" s="101"/>
    </row>
    <row r="958">
      <c r="B958" s="101"/>
      <c r="C958" s="101"/>
      <c r="G958" s="101"/>
    </row>
    <row r="959">
      <c r="B959" s="101"/>
      <c r="C959" s="101"/>
      <c r="G959" s="101"/>
    </row>
    <row r="960">
      <c r="B960" s="101"/>
      <c r="C960" s="101"/>
      <c r="G960" s="101"/>
    </row>
    <row r="961">
      <c r="B961" s="101"/>
      <c r="C961" s="101"/>
      <c r="G961" s="101"/>
    </row>
    <row r="962">
      <c r="B962" s="101"/>
      <c r="C962" s="101"/>
      <c r="G962" s="101"/>
    </row>
    <row r="963">
      <c r="B963" s="101"/>
      <c r="C963" s="101"/>
      <c r="G963" s="101"/>
    </row>
    <row r="964">
      <c r="B964" s="101"/>
      <c r="C964" s="101"/>
      <c r="G964" s="101"/>
    </row>
    <row r="965">
      <c r="B965" s="101"/>
      <c r="C965" s="101"/>
      <c r="G965" s="101"/>
    </row>
    <row r="966">
      <c r="B966" s="101"/>
      <c r="C966" s="101"/>
      <c r="G966" s="101"/>
    </row>
    <row r="967">
      <c r="B967" s="101"/>
      <c r="C967" s="101"/>
      <c r="G967" s="101"/>
    </row>
    <row r="968">
      <c r="B968" s="101"/>
      <c r="C968" s="101"/>
      <c r="G968" s="101"/>
    </row>
    <row r="969">
      <c r="B969" s="101"/>
      <c r="C969" s="101"/>
      <c r="G969" s="101"/>
    </row>
    <row r="970">
      <c r="B970" s="101"/>
      <c r="C970" s="101"/>
      <c r="G970" s="101"/>
    </row>
    <row r="971">
      <c r="B971" s="101"/>
      <c r="C971" s="101"/>
      <c r="G971" s="101"/>
    </row>
    <row r="972">
      <c r="B972" s="101"/>
      <c r="C972" s="101"/>
      <c r="G972" s="101"/>
    </row>
    <row r="973">
      <c r="B973" s="101"/>
      <c r="C973" s="101"/>
      <c r="G973" s="101"/>
    </row>
    <row r="974">
      <c r="B974" s="101"/>
      <c r="C974" s="101"/>
      <c r="G974" s="101"/>
    </row>
    <row r="975">
      <c r="B975" s="101"/>
      <c r="C975" s="101"/>
      <c r="G975" s="101"/>
    </row>
    <row r="976">
      <c r="B976" s="101"/>
      <c r="C976" s="101"/>
      <c r="G976" s="101"/>
    </row>
    <row r="977">
      <c r="B977" s="101"/>
      <c r="C977" s="101"/>
      <c r="G977" s="101"/>
    </row>
    <row r="978">
      <c r="B978" s="101"/>
      <c r="C978" s="101"/>
      <c r="G978" s="101"/>
    </row>
    <row r="979">
      <c r="B979" s="101"/>
      <c r="C979" s="101"/>
      <c r="G979" s="101"/>
    </row>
    <row r="980">
      <c r="B980" s="101"/>
      <c r="C980" s="101"/>
      <c r="G980" s="101"/>
    </row>
    <row r="981">
      <c r="B981" s="101"/>
      <c r="C981" s="101"/>
      <c r="G981" s="101"/>
    </row>
    <row r="982">
      <c r="B982" s="101"/>
      <c r="C982" s="101"/>
      <c r="G982" s="101"/>
    </row>
    <row r="983">
      <c r="B983" s="101"/>
      <c r="C983" s="101"/>
      <c r="G983" s="101"/>
    </row>
    <row r="984">
      <c r="B984" s="101"/>
      <c r="C984" s="101"/>
      <c r="G984" s="101"/>
    </row>
    <row r="985">
      <c r="B985" s="101"/>
      <c r="C985" s="101"/>
      <c r="G985" s="101"/>
    </row>
    <row r="986">
      <c r="B986" s="101"/>
      <c r="C986" s="101"/>
      <c r="G986" s="101"/>
    </row>
    <row r="987">
      <c r="B987" s="101"/>
      <c r="C987" s="101"/>
      <c r="G987" s="101"/>
    </row>
    <row r="988">
      <c r="B988" s="101"/>
      <c r="C988" s="101"/>
      <c r="G988" s="101"/>
    </row>
    <row r="989">
      <c r="B989" s="101"/>
      <c r="C989" s="101"/>
      <c r="G989" s="101"/>
    </row>
    <row r="990">
      <c r="B990" s="101"/>
      <c r="C990" s="101"/>
      <c r="G990" s="101"/>
    </row>
    <row r="991">
      <c r="B991" s="101"/>
      <c r="C991" s="101"/>
      <c r="G991" s="101"/>
    </row>
    <row r="992">
      <c r="B992" s="101"/>
      <c r="C992" s="101"/>
      <c r="G992" s="101"/>
    </row>
    <row r="993">
      <c r="B993" s="101"/>
      <c r="C993" s="101"/>
      <c r="G993" s="101"/>
    </row>
    <row r="994">
      <c r="B994" s="101"/>
      <c r="C994" s="101"/>
      <c r="G994" s="101"/>
    </row>
    <row r="995">
      <c r="B995" s="101"/>
      <c r="C995" s="101"/>
      <c r="G995" s="101"/>
    </row>
    <row r="996">
      <c r="B996" s="101"/>
      <c r="C996" s="101"/>
      <c r="G996" s="101"/>
    </row>
    <row r="997">
      <c r="B997" s="101"/>
      <c r="C997" s="101"/>
      <c r="G997" s="101"/>
    </row>
    <row r="998">
      <c r="B998" s="101"/>
      <c r="C998" s="101"/>
      <c r="G998" s="101"/>
    </row>
    <row r="999">
      <c r="B999" s="101"/>
      <c r="C999" s="101"/>
      <c r="G999" s="101"/>
    </row>
    <row r="1000">
      <c r="B1000" s="101"/>
      <c r="C1000" s="101"/>
      <c r="G1000" s="101"/>
    </row>
  </sheetData>
  <drawing r:id="rId1"/>
</worksheet>
</file>